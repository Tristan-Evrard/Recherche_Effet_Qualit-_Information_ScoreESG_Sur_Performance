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esktop\Master MBFA GRFV\Méthodologie pour la recherche\"/>
    </mc:Choice>
  </mc:AlternateContent>
  <xr:revisionPtr revIDLastSave="0" documentId="13_ncr:1_{82C85BC5-9D10-4755-B1D4-73CFB7AE79C9}" xr6:coauthVersionLast="47" xr6:coauthVersionMax="47" xr10:uidLastSave="{00000000-0000-0000-0000-000000000000}"/>
  <bookViews>
    <workbookView xWindow="-120" yWindow="-120" windowWidth="20730" windowHeight="11160" firstSheet="5" activeTab="5" xr2:uid="{4AA2B407-D60F-4F89-AE53-4C7817C1E146}"/>
  </bookViews>
  <sheets>
    <sheet name="Score ESG" sheetId="1" r:id="rId1"/>
    <sheet name="Feuil1" sheetId="15" r:id="rId2"/>
    <sheet name="Qualité Information" sheetId="2" r:id="rId3"/>
    <sheet name="Données Financières" sheetId="3" r:id="rId4"/>
    <sheet name="Type Secteur" sheetId="22" r:id="rId5"/>
    <sheet name="Données compilées" sheetId="4" r:id="rId6"/>
    <sheet name="Données pour H1" sheetId="5" r:id="rId7"/>
    <sheet name="Données pour H1 (a,b,c,d)" sheetId="7" r:id="rId8"/>
    <sheet name="H1" sheetId="23" r:id="rId9"/>
    <sheet name="H1.a" sheetId="24" r:id="rId10"/>
    <sheet name="H1.b" sheetId="25" r:id="rId11"/>
    <sheet name="H1.c" sheetId="26" r:id="rId12"/>
    <sheet name="H1.d" sheetId="2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" i="3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O3" i="4"/>
  <c r="M3" i="4"/>
  <c r="K3" i="4"/>
  <c r="I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3" i="4"/>
  <c r="E4" i="4"/>
  <c r="R4" i="4" s="1"/>
  <c r="E5" i="4"/>
  <c r="R5" i="4" s="1"/>
  <c r="E6" i="4"/>
  <c r="R6" i="4" s="1"/>
  <c r="E7" i="4"/>
  <c r="R7" i="4" s="1"/>
  <c r="E8" i="4"/>
  <c r="R8" i="4" s="1"/>
  <c r="E9" i="4"/>
  <c r="R9" i="4" s="1"/>
  <c r="E10" i="4"/>
  <c r="R10" i="4" s="1"/>
  <c r="E11" i="4"/>
  <c r="R11" i="4" s="1"/>
  <c r="E12" i="4"/>
  <c r="R12" i="4" s="1"/>
  <c r="E13" i="4"/>
  <c r="R13" i="4" s="1"/>
  <c r="E14" i="4"/>
  <c r="R14" i="4" s="1"/>
  <c r="E15" i="4"/>
  <c r="R15" i="4" s="1"/>
  <c r="E16" i="4"/>
  <c r="R16" i="4" s="1"/>
  <c r="E17" i="4"/>
  <c r="R17" i="4" s="1"/>
  <c r="E18" i="4"/>
  <c r="R18" i="4" s="1"/>
  <c r="E19" i="4"/>
  <c r="R19" i="4" s="1"/>
  <c r="E20" i="4"/>
  <c r="R20" i="4" s="1"/>
  <c r="E21" i="4"/>
  <c r="R21" i="4" s="1"/>
  <c r="E22" i="4"/>
  <c r="R22" i="4" s="1"/>
  <c r="E23" i="4"/>
  <c r="R23" i="4" s="1"/>
  <c r="E24" i="4"/>
  <c r="R24" i="4" s="1"/>
  <c r="E25" i="4"/>
  <c r="R25" i="4" s="1"/>
  <c r="E26" i="4"/>
  <c r="R26" i="4" s="1"/>
  <c r="E27" i="4"/>
  <c r="R27" i="4" s="1"/>
  <c r="E28" i="4"/>
  <c r="R28" i="4" s="1"/>
  <c r="E29" i="4"/>
  <c r="R29" i="4" s="1"/>
  <c r="E30" i="4"/>
  <c r="R30" i="4" s="1"/>
  <c r="E31" i="4"/>
  <c r="R31" i="4" s="1"/>
  <c r="E32" i="4"/>
  <c r="R32" i="4" s="1"/>
  <c r="E33" i="4"/>
  <c r="R33" i="4" s="1"/>
  <c r="E34" i="4"/>
  <c r="R34" i="4" s="1"/>
  <c r="E35" i="4"/>
  <c r="R35" i="4" s="1"/>
  <c r="E36" i="4"/>
  <c r="R36" i="4" s="1"/>
  <c r="E37" i="4"/>
  <c r="R37" i="4" s="1"/>
  <c r="E38" i="4"/>
  <c r="R38" i="4" s="1"/>
  <c r="E39" i="4"/>
  <c r="R39" i="4" s="1"/>
  <c r="E40" i="4"/>
  <c r="R40" i="4" s="1"/>
  <c r="E41" i="4"/>
  <c r="R41" i="4" s="1"/>
  <c r="E42" i="4"/>
  <c r="R42" i="4" s="1"/>
  <c r="E3" i="4"/>
  <c r="R3" i="4" s="1"/>
</calcChain>
</file>

<file path=xl/sharedStrings.xml><?xml version="1.0" encoding="utf-8"?>
<sst xmlns="http://schemas.openxmlformats.org/spreadsheetml/2006/main" count="663" uniqueCount="120">
  <si>
    <t>Entreprise</t>
  </si>
  <si>
    <t>Score ESG</t>
  </si>
  <si>
    <t>Environnemental</t>
  </si>
  <si>
    <t>Social</t>
  </si>
  <si>
    <t>Gouvernance</t>
  </si>
  <si>
    <t>LVMH</t>
  </si>
  <si>
    <t>Score combiné ESG*</t>
  </si>
  <si>
    <t>*=score ESG brut + impact des controverses (affaires, scandales, violations)</t>
  </si>
  <si>
    <t>Score Controverses ESG**</t>
  </si>
  <si>
    <t>**=mesure le niveau d’implication d’une entreprise dans des incidents négatifs liés à des enjeux environnementaux, sociaux ou de gouvernance.</t>
  </si>
  <si>
    <t>Hermès</t>
  </si>
  <si>
    <t>L'Oréal</t>
  </si>
  <si>
    <t>Airbus</t>
  </si>
  <si>
    <t>EssilorLuxottica</t>
  </si>
  <si>
    <t>Schneider Electric</t>
  </si>
  <si>
    <t>Safran</t>
  </si>
  <si>
    <t>TotalEnergies</t>
  </si>
  <si>
    <t>Sanofi</t>
  </si>
  <si>
    <t>Air Liquide</t>
  </si>
  <si>
    <t>AXA</t>
  </si>
  <si>
    <t>BNP Paribas</t>
  </si>
  <si>
    <t>Vinci</t>
  </si>
  <si>
    <t>ENGIE</t>
  </si>
  <si>
    <t>Thales</t>
  </si>
  <si>
    <t>Danone</t>
  </si>
  <si>
    <t>Crédit Agricole</t>
  </si>
  <si>
    <t>Société Générale</t>
  </si>
  <si>
    <t>Compagnie de Saint-Gobin</t>
  </si>
  <si>
    <t>Legrand</t>
  </si>
  <si>
    <t>Kering</t>
  </si>
  <si>
    <t>Orange</t>
  </si>
  <si>
    <t>Dassault Système</t>
  </si>
  <si>
    <t>Stellantis</t>
  </si>
  <si>
    <t>ArcelorMittal</t>
  </si>
  <si>
    <t>Capgemini</t>
  </si>
  <si>
    <t>Publicis Groupe</t>
  </si>
  <si>
    <t>Veolia</t>
  </si>
  <si>
    <t>Pernod Ricard</t>
  </si>
  <si>
    <t>Michelin</t>
  </si>
  <si>
    <t>STMicroelectronics</t>
  </si>
  <si>
    <t>Bouygues</t>
  </si>
  <si>
    <t>Unibail-Rodamco-Westfield</t>
  </si>
  <si>
    <t>Accor</t>
  </si>
  <si>
    <t>Eurofins Scientific</t>
  </si>
  <si>
    <t>Renault</t>
  </si>
  <si>
    <t>Carrefour</t>
  </si>
  <si>
    <t>Edenred</t>
  </si>
  <si>
    <t>Teleperformance</t>
  </si>
  <si>
    <t>Vivendi</t>
  </si>
  <si>
    <t>Disclosure Score</t>
  </si>
  <si>
    <t xml:space="preserve">Source : </t>
  </si>
  <si>
    <t>https://actinitiative.org/en/assessment-results/</t>
  </si>
  <si>
    <t>Moody's ?</t>
  </si>
  <si>
    <t>https://www.spglobal.com/sustainable1/en/scores/results/</t>
  </si>
  <si>
    <t xml:space="preserve">ROA </t>
  </si>
  <si>
    <t>ROE</t>
  </si>
  <si>
    <t xml:space="preserve">Marge EBITDA </t>
  </si>
  <si>
    <t>ESG x Qualité Information</t>
  </si>
  <si>
    <t>Score ESG - %</t>
  </si>
  <si>
    <t xml:space="preserve">Envrionnemental - % </t>
  </si>
  <si>
    <t>Social - %</t>
  </si>
  <si>
    <t>Gouvernance - %</t>
  </si>
  <si>
    <t>Score combiné ESG* - %</t>
  </si>
  <si>
    <t>Disclosure Score - Qualité Information - %</t>
  </si>
  <si>
    <t xml:space="preserve">Disclosure Score - Qualité Information </t>
  </si>
  <si>
    <t xml:space="preserve">Score Controverses ESG** </t>
  </si>
  <si>
    <t xml:space="preserve">Score Controverses ESG** - % </t>
  </si>
  <si>
    <t>ROE - %</t>
  </si>
  <si>
    <t>Marge EBITDA - %</t>
  </si>
  <si>
    <t>ROA - %</t>
  </si>
  <si>
    <t>Cost Income Ratio</t>
  </si>
  <si>
    <t>Donnée incertaine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</si>
  <si>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</si>
  <si>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</si>
  <si>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</si>
  <si>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</si>
  <si>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</si>
  <si>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</si>
  <si>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</si>
  <si>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</si>
  <si>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</si>
  <si>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</si>
  <si>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</si>
  <si>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</si>
  <si>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</si>
  <si>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</si>
  <si>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</si>
  <si>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</si>
  <si>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</si>
  <si>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</si>
  <si>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</si>
  <si>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</si>
  <si>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</si>
  <si>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95.0%</t>
  </si>
  <si>
    <t>Limite supérieure pour seuil de confiance =  95.0%</t>
  </si>
  <si>
    <t>ANALYSE DES RÉSIDUS</t>
  </si>
  <si>
    <t>Observation</t>
  </si>
  <si>
    <t>Prévisions ROA - %</t>
  </si>
  <si>
    <t>Prévisions Disclosure Score - Qualité Information - %</t>
  </si>
  <si>
    <t>Source</t>
  </si>
  <si>
    <t>ZoneBourse/YahooFinance/Boursier.com</t>
  </si>
  <si>
    <t>MargeEBITDA</t>
  </si>
  <si>
    <t>ROA</t>
  </si>
  <si>
    <t>TotalActif(enmillier)</t>
  </si>
  <si>
    <t>Taille</t>
  </si>
  <si>
    <t>AirLiquide</t>
  </si>
  <si>
    <t>BNPParibas</t>
  </si>
  <si>
    <t>CompagniedeSaint-Gobin</t>
  </si>
  <si>
    <t>CréditAgricole</t>
  </si>
  <si>
    <t>DassaultSystème</t>
  </si>
  <si>
    <t>EurofinsScientific</t>
  </si>
  <si>
    <t>PernodRicard</t>
  </si>
  <si>
    <t>PublicisGroupe</t>
  </si>
  <si>
    <t>SchneiderElectric</t>
  </si>
  <si>
    <t>SociétéGénérale</t>
  </si>
  <si>
    <t>Dette nette en Mds €</t>
  </si>
  <si>
    <t>Dette nette en Mds euros</t>
  </si>
  <si>
    <t>Secteur Secondaire</t>
  </si>
  <si>
    <t>Secteur Tertiaire</t>
  </si>
  <si>
    <t>Résidus normalisés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</si>
</sst>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3" xfId="0" applyBorder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4" fillId="2" borderId="1" xfId="0" applyFont="1" applyFill="1" applyBorder="1"/>
    <xf numFmtId="0" fontId="4" fillId="0" borderId="0" xfId="0" applyFont="1"/>
    <xf numFmtId="0" fontId="0" fillId="0" borderId="8" xfId="0" applyBorder="1"/>
    <xf numFmtId="2" fontId="6" fillId="0" borderId="1" xfId="0" applyNumberFormat="1" applyFont="1" applyBorder="1" applyAlignment="1">
      <alignment wrapText="1" readingOrder="1"/>
    </xf>
    <xf numFmtId="0" fontId="0" fillId="0" borderId="10" xfId="0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Continuous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global.com/sustainable1/en/scores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DDC6-087E-4846-AE0A-934B68EF7301}">
  <dimension ref="B2:K42"/>
  <sheetViews>
    <sheetView topLeftCell="A6" zoomScale="61" workbookViewId="0">
      <selection activeCell="G2" sqref="G2:G42"/>
    </sheetView>
  </sheetViews>
  <sheetFormatPr baseColWidth="10" defaultRowHeight="15" x14ac:dyDescent="0.25"/>
  <cols>
    <col min="2" max="2" width="24.28515625" customWidth="1"/>
    <col min="4" max="4" width="15.5703125" customWidth="1"/>
    <col min="5" max="5" width="8.7109375" customWidth="1"/>
    <col min="6" max="6" width="12.5703125" customWidth="1"/>
    <col min="7" max="7" width="26.85546875" bestFit="1" customWidth="1"/>
    <col min="8" max="8" width="34.5703125" bestFit="1" customWidth="1"/>
  </cols>
  <sheetData>
    <row r="2" spans="2:11" x14ac:dyDescent="0.25">
      <c r="B2" s="7" t="s">
        <v>0</v>
      </c>
      <c r="C2" s="1" t="s">
        <v>1</v>
      </c>
      <c r="D2" s="8" t="s">
        <v>2</v>
      </c>
      <c r="E2" s="1" t="s">
        <v>3</v>
      </c>
      <c r="F2" s="1" t="s">
        <v>4</v>
      </c>
      <c r="G2" s="1" t="s">
        <v>6</v>
      </c>
      <c r="H2" s="1" t="s">
        <v>8</v>
      </c>
    </row>
    <row r="3" spans="2:11" x14ac:dyDescent="0.25">
      <c r="B3" s="6" t="s">
        <v>42</v>
      </c>
      <c r="C3" s="4">
        <v>7</v>
      </c>
      <c r="D3" s="3">
        <v>7</v>
      </c>
      <c r="E3" s="3">
        <v>7</v>
      </c>
      <c r="F3" s="3">
        <v>6</v>
      </c>
      <c r="G3" s="3">
        <v>6</v>
      </c>
      <c r="H3" s="4">
        <v>4</v>
      </c>
    </row>
    <row r="4" spans="2:11" x14ac:dyDescent="0.25">
      <c r="B4" s="2" t="s">
        <v>18</v>
      </c>
      <c r="C4" s="4">
        <v>8</v>
      </c>
      <c r="D4" s="4">
        <v>7</v>
      </c>
      <c r="E4" s="4">
        <v>8</v>
      </c>
      <c r="F4" s="4">
        <v>8</v>
      </c>
      <c r="G4" s="4">
        <v>5</v>
      </c>
      <c r="H4" s="4">
        <v>1</v>
      </c>
    </row>
    <row r="5" spans="2:11" x14ac:dyDescent="0.25">
      <c r="B5" s="2" t="s">
        <v>12</v>
      </c>
      <c r="C5" s="4">
        <v>7</v>
      </c>
      <c r="D5" s="4">
        <v>9</v>
      </c>
      <c r="E5" s="4">
        <v>8</v>
      </c>
      <c r="F5" s="4">
        <v>6</v>
      </c>
      <c r="G5" s="4">
        <v>5</v>
      </c>
      <c r="H5" s="4">
        <v>2</v>
      </c>
      <c r="K5" t="s">
        <v>7</v>
      </c>
    </row>
    <row r="6" spans="2:11" x14ac:dyDescent="0.25">
      <c r="B6" s="2" t="s">
        <v>33</v>
      </c>
      <c r="C6" s="4">
        <v>7</v>
      </c>
      <c r="D6" s="4">
        <v>6</v>
      </c>
      <c r="E6" s="4">
        <v>7</v>
      </c>
      <c r="F6" s="9">
        <v>7</v>
      </c>
      <c r="G6" s="4">
        <v>7</v>
      </c>
      <c r="H6" s="4">
        <v>7</v>
      </c>
      <c r="K6" t="s">
        <v>9</v>
      </c>
    </row>
    <row r="7" spans="2:11" x14ac:dyDescent="0.25">
      <c r="B7" s="4" t="s">
        <v>19</v>
      </c>
      <c r="C7" s="4">
        <v>8</v>
      </c>
      <c r="D7" s="4">
        <v>7</v>
      </c>
      <c r="E7" s="4">
        <v>7</v>
      </c>
      <c r="F7" s="4">
        <v>9</v>
      </c>
      <c r="G7" s="4">
        <v>7</v>
      </c>
      <c r="H7" s="4">
        <v>7</v>
      </c>
    </row>
    <row r="8" spans="2:11" x14ac:dyDescent="0.25">
      <c r="B8" s="4" t="s">
        <v>20</v>
      </c>
      <c r="C8" s="4">
        <v>8</v>
      </c>
      <c r="D8" s="4">
        <v>8</v>
      </c>
      <c r="E8" s="4">
        <v>8</v>
      </c>
      <c r="F8" s="4">
        <v>8</v>
      </c>
      <c r="G8" s="4">
        <v>5</v>
      </c>
      <c r="H8" s="4">
        <v>1</v>
      </c>
    </row>
    <row r="9" spans="2:11" x14ac:dyDescent="0.25">
      <c r="B9" s="4" t="s">
        <v>40</v>
      </c>
      <c r="C9" s="4">
        <v>7</v>
      </c>
      <c r="D9" s="4">
        <v>7</v>
      </c>
      <c r="E9" s="4">
        <v>8</v>
      </c>
      <c r="F9" s="4">
        <v>4</v>
      </c>
      <c r="G9" s="4">
        <v>4</v>
      </c>
      <c r="H9" s="4">
        <v>2</v>
      </c>
    </row>
    <row r="10" spans="2:11" x14ac:dyDescent="0.25">
      <c r="B10" s="4" t="s">
        <v>34</v>
      </c>
      <c r="C10" s="4">
        <v>6</v>
      </c>
      <c r="D10" s="4">
        <v>8</v>
      </c>
      <c r="E10" s="4">
        <v>8</v>
      </c>
      <c r="F10" s="4">
        <v>4</v>
      </c>
      <c r="G10" s="4">
        <v>6</v>
      </c>
      <c r="H10" s="4">
        <v>10</v>
      </c>
    </row>
    <row r="11" spans="2:11" x14ac:dyDescent="0.25">
      <c r="B11" s="4" t="s">
        <v>45</v>
      </c>
      <c r="C11" s="4">
        <v>7</v>
      </c>
      <c r="D11" s="4">
        <v>8</v>
      </c>
      <c r="E11" s="4">
        <v>8</v>
      </c>
      <c r="F11" s="4">
        <v>6</v>
      </c>
      <c r="G11" s="4">
        <v>5</v>
      </c>
      <c r="H11" s="4">
        <v>3</v>
      </c>
    </row>
    <row r="12" spans="2:11" x14ac:dyDescent="0.25">
      <c r="B12" s="4" t="s">
        <v>27</v>
      </c>
      <c r="C12" s="4">
        <v>8</v>
      </c>
      <c r="D12" s="4">
        <v>9</v>
      </c>
      <c r="E12" s="4">
        <v>8</v>
      </c>
      <c r="F12" s="4">
        <v>8</v>
      </c>
      <c r="G12" s="4">
        <v>5</v>
      </c>
      <c r="H12" s="4">
        <v>2</v>
      </c>
    </row>
    <row r="13" spans="2:11" x14ac:dyDescent="0.25">
      <c r="B13" s="4" t="s">
        <v>25</v>
      </c>
      <c r="C13" s="4">
        <v>6</v>
      </c>
      <c r="D13" s="4">
        <v>9</v>
      </c>
      <c r="E13" s="4">
        <v>6</v>
      </c>
      <c r="F13" s="4">
        <v>5</v>
      </c>
      <c r="G13" s="4">
        <v>6</v>
      </c>
      <c r="H13" s="4">
        <v>8</v>
      </c>
    </row>
    <row r="14" spans="2:11" x14ac:dyDescent="0.25">
      <c r="B14" s="4" t="s">
        <v>24</v>
      </c>
      <c r="C14" s="4">
        <v>9</v>
      </c>
      <c r="D14" s="4">
        <v>9</v>
      </c>
      <c r="E14" s="4">
        <v>9</v>
      </c>
      <c r="F14" s="4">
        <v>8</v>
      </c>
      <c r="G14" s="4">
        <v>5</v>
      </c>
      <c r="H14" s="4">
        <v>0</v>
      </c>
    </row>
    <row r="15" spans="2:11" x14ac:dyDescent="0.25">
      <c r="B15" s="4" t="s">
        <v>31</v>
      </c>
      <c r="C15" s="4">
        <v>6</v>
      </c>
      <c r="D15" s="4">
        <v>8</v>
      </c>
      <c r="E15" s="4">
        <v>9</v>
      </c>
      <c r="F15" s="4">
        <v>3</v>
      </c>
      <c r="G15" s="4">
        <v>6</v>
      </c>
      <c r="H15" s="4">
        <v>10</v>
      </c>
    </row>
    <row r="16" spans="2:11" x14ac:dyDescent="0.25">
      <c r="B16" s="4" t="s">
        <v>46</v>
      </c>
      <c r="C16" s="4">
        <v>7</v>
      </c>
      <c r="D16" s="4">
        <v>7</v>
      </c>
      <c r="E16" s="4">
        <v>8</v>
      </c>
      <c r="F16" s="4">
        <v>7</v>
      </c>
      <c r="G16" s="4">
        <v>7</v>
      </c>
      <c r="H16" s="4">
        <v>10</v>
      </c>
    </row>
    <row r="17" spans="2:8" x14ac:dyDescent="0.25">
      <c r="B17" s="4" t="s">
        <v>22</v>
      </c>
      <c r="C17" s="4">
        <v>7</v>
      </c>
      <c r="D17" s="4">
        <v>7</v>
      </c>
      <c r="E17" s="4">
        <v>8</v>
      </c>
      <c r="F17" s="4">
        <v>6</v>
      </c>
      <c r="G17" s="4">
        <v>7</v>
      </c>
      <c r="H17" s="4">
        <v>10</v>
      </c>
    </row>
    <row r="18" spans="2:8" x14ac:dyDescent="0.25">
      <c r="B18" s="4" t="s">
        <v>13</v>
      </c>
      <c r="C18" s="4">
        <v>6</v>
      </c>
      <c r="D18" s="4">
        <v>6</v>
      </c>
      <c r="E18" s="4">
        <v>8</v>
      </c>
      <c r="F18" s="4">
        <v>5</v>
      </c>
      <c r="G18" s="4">
        <v>6</v>
      </c>
      <c r="H18" s="4">
        <v>10</v>
      </c>
    </row>
    <row r="19" spans="2:8" x14ac:dyDescent="0.25">
      <c r="B19" s="4" t="s">
        <v>43</v>
      </c>
      <c r="C19" s="4">
        <v>7</v>
      </c>
      <c r="D19" s="4">
        <v>6</v>
      </c>
      <c r="E19" s="4">
        <v>7</v>
      </c>
      <c r="F19" s="4">
        <v>7</v>
      </c>
      <c r="G19" s="4">
        <v>7</v>
      </c>
      <c r="H19" s="4">
        <v>10</v>
      </c>
    </row>
    <row r="20" spans="2:8" x14ac:dyDescent="0.25">
      <c r="B20" s="4" t="s">
        <v>10</v>
      </c>
      <c r="C20" s="4">
        <v>5</v>
      </c>
      <c r="D20" s="4">
        <v>7</v>
      </c>
      <c r="E20" s="4">
        <v>6</v>
      </c>
      <c r="F20" s="4">
        <v>3</v>
      </c>
      <c r="G20" s="4">
        <v>4</v>
      </c>
      <c r="H20" s="4">
        <v>3</v>
      </c>
    </row>
    <row r="21" spans="2:8" x14ac:dyDescent="0.25">
      <c r="B21" s="4" t="s">
        <v>29</v>
      </c>
      <c r="C21" s="4">
        <v>7</v>
      </c>
      <c r="D21" s="4">
        <v>9</v>
      </c>
      <c r="E21" s="4">
        <v>9</v>
      </c>
      <c r="F21" s="4">
        <v>5</v>
      </c>
      <c r="G21" s="4">
        <v>5</v>
      </c>
      <c r="H21" s="4">
        <v>3</v>
      </c>
    </row>
    <row r="22" spans="2:8" x14ac:dyDescent="0.25">
      <c r="B22" s="4" t="s">
        <v>28</v>
      </c>
      <c r="C22" s="4">
        <v>8</v>
      </c>
      <c r="D22" s="4">
        <v>9</v>
      </c>
      <c r="E22" s="4">
        <v>8</v>
      </c>
      <c r="F22" s="4">
        <v>8</v>
      </c>
      <c r="G22" s="4">
        <v>8</v>
      </c>
      <c r="H22" s="4">
        <v>8</v>
      </c>
    </row>
    <row r="23" spans="2:8" x14ac:dyDescent="0.25">
      <c r="B23" s="4" t="s">
        <v>11</v>
      </c>
      <c r="C23" s="4">
        <v>8</v>
      </c>
      <c r="D23" s="4">
        <v>7</v>
      </c>
      <c r="E23" s="4">
        <v>9</v>
      </c>
      <c r="F23" s="4">
        <v>8</v>
      </c>
      <c r="G23" s="4">
        <v>6</v>
      </c>
      <c r="H23" s="4">
        <v>3</v>
      </c>
    </row>
    <row r="24" spans="2:8" x14ac:dyDescent="0.25">
      <c r="B24" s="4" t="s">
        <v>5</v>
      </c>
      <c r="C24" s="4">
        <v>8</v>
      </c>
      <c r="D24" s="4">
        <v>9</v>
      </c>
      <c r="E24" s="4">
        <v>9</v>
      </c>
      <c r="F24" s="4">
        <v>5</v>
      </c>
      <c r="G24" s="4">
        <v>4</v>
      </c>
      <c r="H24" s="4">
        <v>1</v>
      </c>
    </row>
    <row r="25" spans="2:8" x14ac:dyDescent="0.25">
      <c r="B25" s="4" t="s">
        <v>38</v>
      </c>
      <c r="C25" s="4">
        <v>8</v>
      </c>
      <c r="D25" s="4">
        <v>7</v>
      </c>
      <c r="E25" s="4">
        <v>9</v>
      </c>
      <c r="F25" s="4">
        <v>8</v>
      </c>
      <c r="G25" s="4">
        <v>6</v>
      </c>
      <c r="H25" s="4">
        <v>5</v>
      </c>
    </row>
    <row r="26" spans="2:8" x14ac:dyDescent="0.25">
      <c r="B26" s="4" t="s">
        <v>30</v>
      </c>
      <c r="C26" s="4">
        <v>7</v>
      </c>
      <c r="D26" s="4">
        <v>7</v>
      </c>
      <c r="E26" s="4">
        <v>8</v>
      </c>
      <c r="F26" s="4">
        <v>4</v>
      </c>
      <c r="G26" s="4">
        <v>5</v>
      </c>
      <c r="H26" s="4">
        <v>4</v>
      </c>
    </row>
    <row r="27" spans="2:8" x14ac:dyDescent="0.25">
      <c r="B27" s="4" t="s">
        <v>37</v>
      </c>
      <c r="C27" s="4">
        <v>6</v>
      </c>
      <c r="D27" s="4">
        <v>6</v>
      </c>
      <c r="E27" s="4">
        <v>5</v>
      </c>
      <c r="F27" s="4">
        <v>7</v>
      </c>
      <c r="G27" s="4">
        <v>4</v>
      </c>
      <c r="H27" s="4">
        <v>2</v>
      </c>
    </row>
    <row r="28" spans="2:8" x14ac:dyDescent="0.25">
      <c r="B28" s="4" t="s">
        <v>35</v>
      </c>
      <c r="C28" s="4">
        <v>7</v>
      </c>
      <c r="D28" s="4">
        <v>7</v>
      </c>
      <c r="E28" s="4">
        <v>8</v>
      </c>
      <c r="F28" s="4">
        <v>6</v>
      </c>
      <c r="G28" s="4">
        <v>6</v>
      </c>
      <c r="H28" s="4">
        <v>5</v>
      </c>
    </row>
    <row r="29" spans="2:8" x14ac:dyDescent="0.25">
      <c r="B29" s="4" t="s">
        <v>44</v>
      </c>
      <c r="C29" s="4">
        <v>8</v>
      </c>
      <c r="D29" s="4">
        <v>9</v>
      </c>
      <c r="E29" s="4">
        <v>7</v>
      </c>
      <c r="F29" s="4">
        <v>6</v>
      </c>
      <c r="G29" s="4">
        <v>5</v>
      </c>
      <c r="H29" s="4">
        <v>2</v>
      </c>
    </row>
    <row r="30" spans="2:8" x14ac:dyDescent="0.25">
      <c r="B30" s="4" t="s">
        <v>15</v>
      </c>
      <c r="C30" s="4">
        <v>7</v>
      </c>
      <c r="D30" s="4">
        <v>6</v>
      </c>
      <c r="E30" s="4">
        <v>7</v>
      </c>
      <c r="F30" s="4">
        <v>7</v>
      </c>
      <c r="G30" s="4">
        <v>6</v>
      </c>
      <c r="H30" s="4">
        <v>5</v>
      </c>
    </row>
    <row r="31" spans="2:8" x14ac:dyDescent="0.25">
      <c r="B31" s="4" t="s">
        <v>17</v>
      </c>
      <c r="C31" s="4">
        <v>8</v>
      </c>
      <c r="D31" s="4">
        <v>8</v>
      </c>
      <c r="E31" s="4">
        <v>9</v>
      </c>
      <c r="F31" s="4">
        <v>7</v>
      </c>
      <c r="G31" s="4">
        <v>5</v>
      </c>
      <c r="H31" s="4">
        <v>1</v>
      </c>
    </row>
    <row r="32" spans="2:8" x14ac:dyDescent="0.25">
      <c r="B32" s="4" t="s">
        <v>14</v>
      </c>
      <c r="C32" s="4">
        <v>8</v>
      </c>
      <c r="D32" s="4">
        <v>8</v>
      </c>
      <c r="E32" s="4">
        <v>9</v>
      </c>
      <c r="F32" s="4">
        <v>8</v>
      </c>
      <c r="G32" s="4">
        <v>8</v>
      </c>
      <c r="H32" s="4">
        <v>7</v>
      </c>
    </row>
    <row r="33" spans="2:8" x14ac:dyDescent="0.25">
      <c r="B33" s="4" t="s">
        <v>26</v>
      </c>
      <c r="C33" s="4">
        <v>8</v>
      </c>
      <c r="D33" s="4">
        <v>9</v>
      </c>
      <c r="E33" s="4">
        <v>7</v>
      </c>
      <c r="F33" s="4">
        <v>8</v>
      </c>
      <c r="G33" s="4">
        <v>6</v>
      </c>
      <c r="H33" s="4">
        <v>5</v>
      </c>
    </row>
    <row r="34" spans="2:8" x14ac:dyDescent="0.25">
      <c r="B34" s="4" t="s">
        <v>32</v>
      </c>
      <c r="C34" s="4">
        <v>8</v>
      </c>
      <c r="D34" s="4">
        <v>9</v>
      </c>
      <c r="E34" s="4">
        <v>8</v>
      </c>
      <c r="F34" s="4">
        <v>6</v>
      </c>
      <c r="G34" s="4">
        <v>4</v>
      </c>
      <c r="H34" s="4">
        <v>0</v>
      </c>
    </row>
    <row r="35" spans="2:8" x14ac:dyDescent="0.25">
      <c r="B35" s="4" t="s">
        <v>39</v>
      </c>
      <c r="C35" s="4">
        <v>9</v>
      </c>
      <c r="D35" s="4">
        <v>9</v>
      </c>
      <c r="E35" s="4">
        <v>9</v>
      </c>
      <c r="F35" s="4">
        <v>8</v>
      </c>
      <c r="G35" s="4">
        <v>7</v>
      </c>
      <c r="H35" s="4">
        <v>6</v>
      </c>
    </row>
    <row r="36" spans="2:8" x14ac:dyDescent="0.25">
      <c r="B36" s="4" t="s">
        <v>47</v>
      </c>
      <c r="C36" s="4">
        <v>7</v>
      </c>
      <c r="D36" s="4">
        <v>6</v>
      </c>
      <c r="E36" s="4">
        <v>8</v>
      </c>
      <c r="F36" s="4">
        <v>6</v>
      </c>
      <c r="G36" s="4">
        <v>6</v>
      </c>
      <c r="H36" s="4">
        <v>5</v>
      </c>
    </row>
    <row r="37" spans="2:8" x14ac:dyDescent="0.25">
      <c r="B37" s="4" t="s">
        <v>23</v>
      </c>
      <c r="C37" s="4">
        <v>6</v>
      </c>
      <c r="D37" s="4">
        <v>7</v>
      </c>
      <c r="E37" s="4">
        <v>8</v>
      </c>
      <c r="F37" s="4">
        <v>2</v>
      </c>
      <c r="G37" s="4">
        <v>4</v>
      </c>
      <c r="H37" s="4">
        <v>3</v>
      </c>
    </row>
    <row r="38" spans="2:8" x14ac:dyDescent="0.25">
      <c r="B38" s="4" t="s">
        <v>16</v>
      </c>
      <c r="C38" s="4">
        <v>8</v>
      </c>
      <c r="D38" s="4">
        <v>8</v>
      </c>
      <c r="E38" s="4">
        <v>8</v>
      </c>
      <c r="F38" s="4">
        <v>6</v>
      </c>
      <c r="G38" s="4">
        <v>4</v>
      </c>
      <c r="H38" s="4">
        <v>0</v>
      </c>
    </row>
    <row r="39" spans="2:8" x14ac:dyDescent="0.25">
      <c r="B39" s="4" t="s">
        <v>41</v>
      </c>
      <c r="C39" s="4">
        <v>9</v>
      </c>
      <c r="D39" s="4">
        <v>8</v>
      </c>
      <c r="E39" s="4">
        <v>9</v>
      </c>
      <c r="F39" s="4">
        <v>8</v>
      </c>
      <c r="G39" s="4">
        <v>9</v>
      </c>
      <c r="H39" s="4">
        <v>10</v>
      </c>
    </row>
    <row r="40" spans="2:8" x14ac:dyDescent="0.25">
      <c r="B40" s="4" t="s">
        <v>36</v>
      </c>
      <c r="C40" s="4">
        <v>7</v>
      </c>
      <c r="D40" s="4">
        <v>7</v>
      </c>
      <c r="E40" s="4">
        <v>7</v>
      </c>
      <c r="F40" s="4">
        <v>6</v>
      </c>
      <c r="G40" s="4">
        <v>4</v>
      </c>
      <c r="H40" s="4">
        <v>1</v>
      </c>
    </row>
    <row r="41" spans="2:8" x14ac:dyDescent="0.25">
      <c r="B41" s="4" t="s">
        <v>21</v>
      </c>
      <c r="C41" s="4">
        <v>8</v>
      </c>
      <c r="D41" s="4">
        <v>9</v>
      </c>
      <c r="E41" s="4">
        <v>7</v>
      </c>
      <c r="F41" s="4">
        <v>8</v>
      </c>
      <c r="G41" s="4">
        <v>8</v>
      </c>
      <c r="H41" s="4">
        <v>10</v>
      </c>
    </row>
    <row r="42" spans="2:8" x14ac:dyDescent="0.25">
      <c r="B42" s="5" t="s">
        <v>48</v>
      </c>
      <c r="C42" s="5">
        <v>7</v>
      </c>
      <c r="D42" s="5">
        <v>7</v>
      </c>
      <c r="E42" s="5">
        <v>8</v>
      </c>
      <c r="F42" s="5">
        <v>6</v>
      </c>
      <c r="G42" s="5">
        <v>6</v>
      </c>
      <c r="H42" s="5">
        <v>5</v>
      </c>
    </row>
  </sheetData>
  <sortState xmlns:xlrd2="http://schemas.microsoft.com/office/spreadsheetml/2017/richdata2" ref="B3:H42">
    <sortCondition ref="B3:B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5A0E-5633-49E1-BF56-BCE11708ADF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90ED4-6B75-48C9-8DA6-90A972F4CEA3}">
  <dimension ref="B1:F42"/>
  <sheetViews>
    <sheetView topLeftCell="A22" workbookViewId="0">
      <selection activeCell="C2" sqref="C2:C42"/>
    </sheetView>
  </sheetViews>
  <sheetFormatPr baseColWidth="10" defaultRowHeight="15" x14ac:dyDescent="0.25"/>
  <cols>
    <col min="2" max="2" width="25.7109375" bestFit="1" customWidth="1"/>
    <col min="3" max="3" width="16.42578125" bestFit="1" customWidth="1"/>
  </cols>
  <sheetData>
    <row r="1" spans="2:6" x14ac:dyDescent="0.25">
      <c r="E1" t="s">
        <v>50</v>
      </c>
      <c r="F1" t="s">
        <v>51</v>
      </c>
    </row>
    <row r="2" spans="2:6" x14ac:dyDescent="0.25">
      <c r="B2" s="1" t="s">
        <v>0</v>
      </c>
      <c r="C2" s="1" t="s">
        <v>49</v>
      </c>
      <c r="F2" s="10" t="s">
        <v>53</v>
      </c>
    </row>
    <row r="3" spans="2:6" x14ac:dyDescent="0.25">
      <c r="B3" s="11" t="s">
        <v>42</v>
      </c>
      <c r="C3" s="11">
        <v>63</v>
      </c>
      <c r="F3" t="s">
        <v>52</v>
      </c>
    </row>
    <row r="4" spans="2:6" x14ac:dyDescent="0.25">
      <c r="B4" s="11" t="s">
        <v>18</v>
      </c>
      <c r="C4" s="11">
        <v>83</v>
      </c>
    </row>
    <row r="5" spans="2:6" x14ac:dyDescent="0.25">
      <c r="B5" s="11" t="s">
        <v>12</v>
      </c>
      <c r="C5" s="11">
        <v>68</v>
      </c>
    </row>
    <row r="6" spans="2:6" x14ac:dyDescent="0.25">
      <c r="B6" s="11" t="s">
        <v>33</v>
      </c>
      <c r="C6" s="11">
        <v>35</v>
      </c>
    </row>
    <row r="7" spans="2:6" x14ac:dyDescent="0.25">
      <c r="B7" s="11" t="s">
        <v>19</v>
      </c>
      <c r="C7" s="11">
        <v>86</v>
      </c>
    </row>
    <row r="8" spans="2:6" x14ac:dyDescent="0.25">
      <c r="B8" s="11" t="s">
        <v>20</v>
      </c>
      <c r="C8" s="11">
        <v>57</v>
      </c>
    </row>
    <row r="9" spans="2:6" x14ac:dyDescent="0.25">
      <c r="B9" s="11" t="s">
        <v>40</v>
      </c>
      <c r="C9" s="11">
        <v>88</v>
      </c>
    </row>
    <row r="10" spans="2:6" x14ac:dyDescent="0.25">
      <c r="B10" s="11" t="s">
        <v>34</v>
      </c>
      <c r="C10" s="11">
        <v>82</v>
      </c>
    </row>
    <row r="11" spans="2:6" x14ac:dyDescent="0.25">
      <c r="B11" s="11" t="s">
        <v>45</v>
      </c>
      <c r="C11" s="11">
        <v>99</v>
      </c>
    </row>
    <row r="12" spans="2:6" x14ac:dyDescent="0.25">
      <c r="B12" s="11" t="s">
        <v>27</v>
      </c>
      <c r="C12" s="11">
        <v>52</v>
      </c>
    </row>
    <row r="13" spans="2:6" x14ac:dyDescent="0.25">
      <c r="B13" s="11" t="s">
        <v>25</v>
      </c>
      <c r="C13" s="11">
        <v>57</v>
      </c>
    </row>
    <row r="14" spans="2:6" x14ac:dyDescent="0.25">
      <c r="B14" s="11" t="s">
        <v>24</v>
      </c>
      <c r="C14" s="11">
        <v>82</v>
      </c>
    </row>
    <row r="15" spans="2:6" x14ac:dyDescent="0.25">
      <c r="B15" s="11" t="s">
        <v>31</v>
      </c>
      <c r="C15" s="11">
        <v>66</v>
      </c>
    </row>
    <row r="16" spans="2:6" x14ac:dyDescent="0.25">
      <c r="B16" s="11" t="s">
        <v>46</v>
      </c>
      <c r="C16" s="11">
        <v>71</v>
      </c>
    </row>
    <row r="17" spans="2:3" x14ac:dyDescent="0.25">
      <c r="B17" s="11" t="s">
        <v>22</v>
      </c>
      <c r="C17" s="11">
        <v>88</v>
      </c>
    </row>
    <row r="18" spans="2:3" x14ac:dyDescent="0.25">
      <c r="B18" s="11" t="s">
        <v>13</v>
      </c>
      <c r="C18" s="11">
        <v>97</v>
      </c>
    </row>
    <row r="19" spans="2:3" x14ac:dyDescent="0.25">
      <c r="B19" s="11" t="s">
        <v>43</v>
      </c>
      <c r="C19" s="11">
        <v>44</v>
      </c>
    </row>
    <row r="20" spans="2:3" x14ac:dyDescent="0.25">
      <c r="B20" s="11" t="s">
        <v>10</v>
      </c>
      <c r="C20" s="11">
        <v>64</v>
      </c>
    </row>
    <row r="21" spans="2:3" x14ac:dyDescent="0.25">
      <c r="B21" s="11" t="s">
        <v>29</v>
      </c>
      <c r="C21" s="11">
        <v>92</v>
      </c>
    </row>
    <row r="22" spans="2:3" x14ac:dyDescent="0.25">
      <c r="B22" s="11" t="s">
        <v>28</v>
      </c>
      <c r="C22" s="11">
        <v>90</v>
      </c>
    </row>
    <row r="23" spans="2:3" x14ac:dyDescent="0.25">
      <c r="B23" s="11" t="s">
        <v>11</v>
      </c>
      <c r="C23" s="11">
        <v>98</v>
      </c>
    </row>
    <row r="24" spans="2:3" x14ac:dyDescent="0.25">
      <c r="B24" s="11" t="s">
        <v>5</v>
      </c>
      <c r="C24" s="11">
        <v>95</v>
      </c>
    </row>
    <row r="25" spans="2:3" x14ac:dyDescent="0.25">
      <c r="B25" s="11" t="s">
        <v>38</v>
      </c>
      <c r="C25" s="11">
        <v>91</v>
      </c>
    </row>
    <row r="26" spans="2:3" x14ac:dyDescent="0.25">
      <c r="B26" s="11" t="s">
        <v>30</v>
      </c>
      <c r="C26" s="11">
        <v>90</v>
      </c>
    </row>
    <row r="27" spans="2:3" x14ac:dyDescent="0.25">
      <c r="B27" s="11" t="s">
        <v>37</v>
      </c>
      <c r="C27" s="11">
        <v>83</v>
      </c>
    </row>
    <row r="28" spans="2:3" x14ac:dyDescent="0.25">
      <c r="B28" s="11" t="s">
        <v>35</v>
      </c>
      <c r="C28" s="11">
        <v>59</v>
      </c>
    </row>
    <row r="29" spans="2:3" x14ac:dyDescent="0.25">
      <c r="B29" s="11" t="s">
        <v>44</v>
      </c>
      <c r="C29" s="11">
        <v>50</v>
      </c>
    </row>
    <row r="30" spans="2:3" x14ac:dyDescent="0.25">
      <c r="B30" s="11" t="s">
        <v>15</v>
      </c>
      <c r="C30" s="11">
        <v>47</v>
      </c>
    </row>
    <row r="31" spans="2:3" x14ac:dyDescent="0.25">
      <c r="B31" s="11" t="s">
        <v>17</v>
      </c>
      <c r="C31" s="11">
        <v>100</v>
      </c>
    </row>
    <row r="32" spans="2:3" x14ac:dyDescent="0.25">
      <c r="B32" s="11" t="s">
        <v>14</v>
      </c>
      <c r="C32" s="11">
        <v>85</v>
      </c>
    </row>
    <row r="33" spans="2:3" x14ac:dyDescent="0.25">
      <c r="B33" s="11" t="s">
        <v>26</v>
      </c>
      <c r="C33" s="11">
        <v>70</v>
      </c>
    </row>
    <row r="34" spans="2:3" x14ac:dyDescent="0.25">
      <c r="B34" s="11" t="s">
        <v>32</v>
      </c>
      <c r="C34" s="11">
        <v>50</v>
      </c>
    </row>
    <row r="35" spans="2:3" x14ac:dyDescent="0.25">
      <c r="B35" s="11" t="s">
        <v>39</v>
      </c>
      <c r="C35" s="11">
        <v>78</v>
      </c>
    </row>
    <row r="36" spans="2:3" x14ac:dyDescent="0.25">
      <c r="B36" s="11" t="s">
        <v>47</v>
      </c>
      <c r="C36" s="11">
        <v>64</v>
      </c>
    </row>
    <row r="37" spans="2:3" x14ac:dyDescent="0.25">
      <c r="B37" s="11" t="s">
        <v>23</v>
      </c>
      <c r="C37" s="11">
        <v>63</v>
      </c>
    </row>
    <row r="38" spans="2:3" x14ac:dyDescent="0.25">
      <c r="B38" s="11" t="s">
        <v>16</v>
      </c>
      <c r="C38" s="11">
        <v>86</v>
      </c>
    </row>
    <row r="39" spans="2:3" x14ac:dyDescent="0.25">
      <c r="B39" s="11" t="s">
        <v>41</v>
      </c>
      <c r="C39" s="11">
        <v>68</v>
      </c>
    </row>
    <row r="40" spans="2:3" x14ac:dyDescent="0.25">
      <c r="B40" s="11" t="s">
        <v>36</v>
      </c>
      <c r="C40" s="11">
        <v>88</v>
      </c>
    </row>
    <row r="41" spans="2:3" x14ac:dyDescent="0.25">
      <c r="B41" s="11" t="s">
        <v>21</v>
      </c>
      <c r="C41" s="11">
        <v>74</v>
      </c>
    </row>
    <row r="42" spans="2:3" x14ac:dyDescent="0.25">
      <c r="B42" s="11" t="s">
        <v>48</v>
      </c>
      <c r="C42" s="11">
        <v>61</v>
      </c>
    </row>
  </sheetData>
  <sortState xmlns:xlrd2="http://schemas.microsoft.com/office/spreadsheetml/2017/richdata2" ref="B3:C42">
    <sortCondition ref="B3:B42"/>
  </sortState>
  <hyperlinks>
    <hyperlink ref="F2" r:id="rId1" xr:uid="{E8942E48-7CD8-4A71-92D1-02F64AA5C9C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23D8-6BE8-48F0-B35D-94233E386C47}">
  <dimension ref="B2:L43"/>
  <sheetViews>
    <sheetView topLeftCell="B13" zoomScale="70" zoomScaleNormal="70" workbookViewId="0">
      <selection activeCell="B3" sqref="B3:B43"/>
    </sheetView>
  </sheetViews>
  <sheetFormatPr baseColWidth="10" defaultRowHeight="15" x14ac:dyDescent="0.25"/>
  <cols>
    <col min="2" max="2" width="25.7109375" bestFit="1" customWidth="1"/>
    <col min="3" max="3" width="25.7109375" customWidth="1"/>
    <col min="4" max="4" width="13.7109375" bestFit="1" customWidth="1"/>
    <col min="6" max="6" width="20.5703125" bestFit="1" customWidth="1"/>
    <col min="8" max="8" width="19.85546875" bestFit="1" customWidth="1"/>
  </cols>
  <sheetData>
    <row r="2" spans="2:12" x14ac:dyDescent="0.25">
      <c r="K2" t="s">
        <v>99</v>
      </c>
      <c r="L2" s="14" t="s">
        <v>100</v>
      </c>
    </row>
    <row r="3" spans="2:12" x14ac:dyDescent="0.25">
      <c r="B3" s="1" t="s">
        <v>0</v>
      </c>
      <c r="C3" s="1" t="s">
        <v>55</v>
      </c>
      <c r="D3" s="1" t="s">
        <v>101</v>
      </c>
      <c r="E3" s="1" t="s">
        <v>102</v>
      </c>
      <c r="F3" s="1" t="s">
        <v>103</v>
      </c>
      <c r="G3" s="7" t="s">
        <v>104</v>
      </c>
      <c r="H3" s="1" t="s">
        <v>115</v>
      </c>
    </row>
    <row r="4" spans="2:12" x14ac:dyDescent="0.25">
      <c r="B4" s="11" t="s">
        <v>42</v>
      </c>
      <c r="C4" s="13">
        <v>12.25</v>
      </c>
      <c r="D4" s="13">
        <v>19.98</v>
      </c>
      <c r="E4" s="13">
        <v>5.23</v>
      </c>
      <c r="F4" s="11">
        <v>12057000</v>
      </c>
      <c r="G4" s="19">
        <f>LN(F4)</f>
        <v>16.305155962099448</v>
      </c>
      <c r="H4" s="20">
        <v>2.5</v>
      </c>
    </row>
    <row r="5" spans="2:12" x14ac:dyDescent="0.25">
      <c r="B5" s="11" t="s">
        <v>105</v>
      </c>
      <c r="C5" s="13">
        <v>12.92</v>
      </c>
      <c r="D5" s="13">
        <v>29.18</v>
      </c>
      <c r="E5" s="13">
        <v>6.6</v>
      </c>
      <c r="F5" s="11">
        <v>51867500</v>
      </c>
      <c r="G5" s="19">
        <f t="shared" ref="G5:G43" si="0">LN(F5)</f>
        <v>17.764202947749432</v>
      </c>
      <c r="H5" s="20">
        <v>10.63</v>
      </c>
    </row>
    <row r="6" spans="2:12" x14ac:dyDescent="0.25">
      <c r="B6" s="11" t="s">
        <v>12</v>
      </c>
      <c r="C6" s="13">
        <v>21.4</v>
      </c>
      <c r="D6" s="13">
        <v>11.85</v>
      </c>
      <c r="E6" s="13">
        <v>3.22</v>
      </c>
      <c r="F6" s="11">
        <v>72152000</v>
      </c>
      <c r="G6" s="19">
        <f t="shared" si="0"/>
        <v>18.094285562827682</v>
      </c>
      <c r="H6" s="20">
        <v>-3.73</v>
      </c>
    </row>
    <row r="7" spans="2:12" x14ac:dyDescent="0.25">
      <c r="B7" s="11" t="s">
        <v>33</v>
      </c>
      <c r="C7" s="13">
        <v>2.6</v>
      </c>
      <c r="D7" s="13">
        <v>11.3</v>
      </c>
      <c r="E7" s="13">
        <v>1.46</v>
      </c>
      <c r="F7" s="11">
        <v>24941000</v>
      </c>
      <c r="G7" s="19">
        <f t="shared" si="0"/>
        <v>17.032023593643288</v>
      </c>
      <c r="H7" s="20">
        <v>5.16</v>
      </c>
    </row>
    <row r="8" spans="2:12" x14ac:dyDescent="0.25">
      <c r="B8" s="11" t="s">
        <v>19</v>
      </c>
      <c r="C8" s="13">
        <v>15.2</v>
      </c>
      <c r="D8" s="13"/>
      <c r="E8" s="13">
        <v>2.4700000000000002</v>
      </c>
      <c r="F8" s="11">
        <v>653761984</v>
      </c>
      <c r="G8" s="19">
        <f t="shared" si="0"/>
        <v>20.298253904341742</v>
      </c>
      <c r="H8" s="20">
        <v>43.46</v>
      </c>
    </row>
    <row r="9" spans="2:12" x14ac:dyDescent="0.25">
      <c r="B9" s="11" t="s">
        <v>106</v>
      </c>
      <c r="C9" s="13">
        <v>9.9</v>
      </c>
      <c r="D9" s="13"/>
      <c r="E9" s="13">
        <v>0.44</v>
      </c>
      <c r="F9" s="11">
        <v>2704908000</v>
      </c>
      <c r="G9" s="19">
        <f t="shared" si="0"/>
        <v>21.718333737575893</v>
      </c>
      <c r="H9" s="20">
        <v>71.849999999999994</v>
      </c>
    </row>
    <row r="10" spans="2:12" x14ac:dyDescent="0.25">
      <c r="B10" s="11" t="s">
        <v>40</v>
      </c>
      <c r="C10" s="13">
        <v>8.43</v>
      </c>
      <c r="D10" s="13">
        <v>8.35</v>
      </c>
      <c r="E10" s="13">
        <v>1.71</v>
      </c>
      <c r="F10" s="11">
        <v>63084000</v>
      </c>
      <c r="G10" s="19">
        <f t="shared" si="0"/>
        <v>17.959977729589585</v>
      </c>
      <c r="H10" s="20">
        <v>9.18</v>
      </c>
    </row>
    <row r="11" spans="2:12" x14ac:dyDescent="0.25">
      <c r="B11" s="11" t="s">
        <v>34</v>
      </c>
      <c r="C11" s="13">
        <v>15.03</v>
      </c>
      <c r="D11" s="13">
        <v>16.37</v>
      </c>
      <c r="E11" s="13">
        <v>6.64</v>
      </c>
      <c r="F11" s="11">
        <v>25660000</v>
      </c>
      <c r="G11" s="19">
        <f t="shared" si="0"/>
        <v>17.060443917151765</v>
      </c>
      <c r="H11" s="20">
        <v>3.29</v>
      </c>
    </row>
    <row r="12" spans="2:12" x14ac:dyDescent="0.25">
      <c r="B12" s="11" t="s">
        <v>45</v>
      </c>
      <c r="C12" s="13">
        <v>9.67</v>
      </c>
      <c r="D12" s="13">
        <v>5.43</v>
      </c>
      <c r="E12" s="13">
        <v>1.27</v>
      </c>
      <c r="F12" s="11">
        <v>57363000</v>
      </c>
      <c r="G12" s="19">
        <f t="shared" si="0"/>
        <v>17.864910054143206</v>
      </c>
      <c r="H12" s="20">
        <v>-1.5</v>
      </c>
    </row>
    <row r="13" spans="2:12" x14ac:dyDescent="0.25">
      <c r="B13" s="11" t="s">
        <v>107</v>
      </c>
      <c r="C13" s="13">
        <v>11.75</v>
      </c>
      <c r="D13" s="13">
        <v>15.47</v>
      </c>
      <c r="E13" s="13">
        <v>4.78</v>
      </c>
      <c r="F13" s="11">
        <v>61718000</v>
      </c>
      <c r="G13" s="19">
        <f t="shared" si="0"/>
        <v>17.9380861805272</v>
      </c>
      <c r="H13" s="20">
        <v>9.3800000000000008</v>
      </c>
    </row>
    <row r="14" spans="2:12" x14ac:dyDescent="0.25">
      <c r="B14" s="11" t="s">
        <v>108</v>
      </c>
      <c r="C14" s="13">
        <v>9.23</v>
      </c>
      <c r="D14" s="13"/>
      <c r="E14" s="13">
        <v>0.28999999999999998</v>
      </c>
      <c r="F14" s="11">
        <v>2309782000</v>
      </c>
      <c r="G14" s="19">
        <f t="shared" si="0"/>
        <v>21.560418984732397</v>
      </c>
      <c r="H14" s="20">
        <v>-265.89999999999998</v>
      </c>
    </row>
    <row r="15" spans="2:12" x14ac:dyDescent="0.25">
      <c r="B15" s="11" t="s">
        <v>24</v>
      </c>
      <c r="C15" s="13">
        <v>13.81</v>
      </c>
      <c r="D15" s="13">
        <v>17.260000000000002</v>
      </c>
      <c r="E15" s="13">
        <v>4.5</v>
      </c>
      <c r="F15" s="11">
        <v>45292000</v>
      </c>
      <c r="G15" s="19">
        <f t="shared" si="0"/>
        <v>17.628640974416069</v>
      </c>
      <c r="H15" s="20">
        <v>12.72</v>
      </c>
    </row>
    <row r="16" spans="2:12" x14ac:dyDescent="0.25">
      <c r="B16" s="11" t="s">
        <v>109</v>
      </c>
      <c r="C16" s="13">
        <v>20.18</v>
      </c>
      <c r="D16" s="13">
        <v>35.01</v>
      </c>
      <c r="E16" s="13">
        <v>7.96</v>
      </c>
      <c r="F16" s="11">
        <v>15545900</v>
      </c>
      <c r="G16" s="19">
        <f t="shared" si="0"/>
        <v>16.559307496228779</v>
      </c>
      <c r="H16" s="20">
        <v>-0.89</v>
      </c>
    </row>
    <row r="17" spans="2:8" x14ac:dyDescent="0.25">
      <c r="B17" s="11" t="s">
        <v>46</v>
      </c>
      <c r="C17" s="13"/>
      <c r="D17" s="13">
        <v>44.29</v>
      </c>
      <c r="E17" s="13">
        <v>3.82</v>
      </c>
      <c r="F17" s="11">
        <v>13266000</v>
      </c>
      <c r="G17" s="19">
        <f t="shared" si="0"/>
        <v>16.40071492906764</v>
      </c>
      <c r="H17" s="20">
        <v>2.9</v>
      </c>
    </row>
    <row r="18" spans="2:8" x14ac:dyDescent="0.25">
      <c r="B18" s="11" t="s">
        <v>22</v>
      </c>
      <c r="C18" s="12">
        <v>12.89</v>
      </c>
      <c r="D18" s="12">
        <v>18.309999999999999</v>
      </c>
      <c r="E18" s="12">
        <v>2.87</v>
      </c>
      <c r="F18" s="11">
        <v>189544000</v>
      </c>
      <c r="G18" s="19">
        <f t="shared" si="0"/>
        <v>19.06013174550845</v>
      </c>
      <c r="H18" s="20">
        <v>35.08</v>
      </c>
    </row>
    <row r="19" spans="2:8" x14ac:dyDescent="0.25">
      <c r="B19" s="11" t="s">
        <v>13</v>
      </c>
      <c r="C19" s="12">
        <v>6.24</v>
      </c>
      <c r="D19" s="12">
        <v>20.98</v>
      </c>
      <c r="E19" s="12">
        <v>3.49</v>
      </c>
      <c r="F19" s="11">
        <v>64264000</v>
      </c>
      <c r="G19" s="19">
        <f t="shared" si="0"/>
        <v>17.978510156835785</v>
      </c>
      <c r="H19" s="20">
        <v>10.96</v>
      </c>
    </row>
    <row r="20" spans="2:8" x14ac:dyDescent="0.25">
      <c r="B20" s="11" t="s">
        <v>110</v>
      </c>
      <c r="C20" s="12">
        <v>7.71</v>
      </c>
      <c r="D20" s="12">
        <v>19.66</v>
      </c>
      <c r="E20" s="12">
        <v>5.15</v>
      </c>
      <c r="F20" s="11">
        <v>10888400</v>
      </c>
      <c r="G20" s="19">
        <f t="shared" si="0"/>
        <v>16.2032085603315</v>
      </c>
      <c r="H20" s="20">
        <v>3</v>
      </c>
    </row>
    <row r="21" spans="2:8" x14ac:dyDescent="0.25">
      <c r="B21" s="11" t="s">
        <v>10</v>
      </c>
      <c r="C21" s="12">
        <v>28.47</v>
      </c>
      <c r="D21" s="12">
        <v>43.23</v>
      </c>
      <c r="E21" s="12">
        <v>17.89</v>
      </c>
      <c r="F21" s="11">
        <v>23084000</v>
      </c>
      <c r="G21" s="19">
        <f t="shared" si="0"/>
        <v>16.954650294812993</v>
      </c>
      <c r="H21" s="20">
        <v>-9.4700000000000006</v>
      </c>
    </row>
    <row r="22" spans="2:8" x14ac:dyDescent="0.25">
      <c r="B22" s="11" t="s">
        <v>29</v>
      </c>
      <c r="C22" s="12">
        <v>7.73</v>
      </c>
      <c r="D22" s="12">
        <v>20.47</v>
      </c>
      <c r="E22" s="12">
        <v>3.77</v>
      </c>
      <c r="F22" s="11">
        <v>43346000</v>
      </c>
      <c r="G22" s="19">
        <f t="shared" si="0"/>
        <v>17.584724984730485</v>
      </c>
      <c r="H22" s="20">
        <v>15.92</v>
      </c>
    </row>
    <row r="23" spans="2:8" x14ac:dyDescent="0.25">
      <c r="B23" s="11" t="s">
        <v>28</v>
      </c>
      <c r="C23" s="12">
        <v>16.37</v>
      </c>
      <c r="D23" s="12">
        <v>21.86</v>
      </c>
      <c r="E23" s="12">
        <v>6.62</v>
      </c>
      <c r="F23" s="11">
        <v>16075000</v>
      </c>
      <c r="G23" s="19">
        <f t="shared" si="0"/>
        <v>16.592775828087959</v>
      </c>
      <c r="H23" s="20">
        <v>3.01</v>
      </c>
    </row>
    <row r="24" spans="2:8" x14ac:dyDescent="0.25">
      <c r="B24" s="11" t="s">
        <v>11</v>
      </c>
      <c r="C24" s="12">
        <v>20.63</v>
      </c>
      <c r="D24" s="12">
        <v>22.17</v>
      </c>
      <c r="E24" s="12">
        <v>10.02</v>
      </c>
      <c r="F24" s="11">
        <v>56353400</v>
      </c>
      <c r="G24" s="19">
        <f t="shared" si="0"/>
        <v>17.847153133808195</v>
      </c>
      <c r="H24" s="20">
        <v>4.4400000000000004</v>
      </c>
    </row>
    <row r="25" spans="2:8" x14ac:dyDescent="0.25">
      <c r="B25" s="11" t="s">
        <v>5</v>
      </c>
      <c r="C25" s="12">
        <v>19.64</v>
      </c>
      <c r="D25" s="12">
        <v>26.49</v>
      </c>
      <c r="E25" s="12">
        <v>8.36</v>
      </c>
      <c r="F25" s="11">
        <v>149190000</v>
      </c>
      <c r="G25" s="19">
        <f t="shared" si="0"/>
        <v>18.820731219359033</v>
      </c>
      <c r="H25" s="20">
        <v>31.57</v>
      </c>
    </row>
    <row r="26" spans="2:8" x14ac:dyDescent="0.25">
      <c r="B26" s="11" t="s">
        <v>38</v>
      </c>
      <c r="C26" s="12">
        <v>10.33</v>
      </c>
      <c r="D26" s="12">
        <v>18.14</v>
      </c>
      <c r="E26" s="12">
        <v>5.34</v>
      </c>
      <c r="F26" s="11">
        <v>37352000</v>
      </c>
      <c r="G26" s="19">
        <f t="shared" si="0"/>
        <v>17.435897015632911</v>
      </c>
      <c r="H26" s="20">
        <v>3.63</v>
      </c>
    </row>
    <row r="27" spans="2:8" x14ac:dyDescent="0.25">
      <c r="B27" s="11" t="s">
        <v>30</v>
      </c>
      <c r="C27" s="12">
        <v>7.67</v>
      </c>
      <c r="D27" s="12">
        <v>32.18</v>
      </c>
      <c r="E27" s="12">
        <v>3.67</v>
      </c>
      <c r="F27" s="11">
        <v>103874000</v>
      </c>
      <c r="G27" s="19">
        <f t="shared" si="0"/>
        <v>18.458689184138073</v>
      </c>
      <c r="H27" s="20">
        <v>-1.4</v>
      </c>
    </row>
    <row r="28" spans="2:8" x14ac:dyDescent="0.25">
      <c r="B28" s="11" t="s">
        <v>111</v>
      </c>
      <c r="C28" s="11">
        <v>10.5</v>
      </c>
      <c r="D28" s="11">
        <v>30.39</v>
      </c>
      <c r="E28" s="11">
        <v>4.4000000000000004</v>
      </c>
      <c r="F28" s="11">
        <v>37080000</v>
      </c>
      <c r="G28" s="19">
        <f t="shared" si="0"/>
        <v>17.428588298661928</v>
      </c>
      <c r="H28" s="20">
        <v>10.76</v>
      </c>
    </row>
    <row r="29" spans="2:8" x14ac:dyDescent="0.25">
      <c r="B29" s="11" t="s">
        <v>112</v>
      </c>
      <c r="C29" s="11">
        <v>17.510000000000002</v>
      </c>
      <c r="D29" s="11">
        <v>19.399999999999999</v>
      </c>
      <c r="E29" s="11">
        <v>4.78</v>
      </c>
      <c r="F29" s="11">
        <v>39854000</v>
      </c>
      <c r="G29" s="19">
        <f t="shared" si="0"/>
        <v>17.500733334574665</v>
      </c>
      <c r="H29" s="20">
        <v>1.53</v>
      </c>
    </row>
    <row r="30" spans="2:8" x14ac:dyDescent="0.25">
      <c r="B30" s="11" t="s">
        <v>44</v>
      </c>
      <c r="C30" s="11">
        <v>-46.54</v>
      </c>
      <c r="D30" s="11">
        <v>12.16</v>
      </c>
      <c r="E30" s="11">
        <v>-9.5</v>
      </c>
      <c r="F30" s="11">
        <v>129366000</v>
      </c>
      <c r="G30" s="19">
        <f t="shared" si="0"/>
        <v>18.678156154346745</v>
      </c>
      <c r="H30" s="20">
        <v>48.71</v>
      </c>
    </row>
    <row r="31" spans="2:8" x14ac:dyDescent="0.25">
      <c r="B31" s="11" t="s">
        <v>15</v>
      </c>
      <c r="C31" s="11">
        <v>35.36</v>
      </c>
      <c r="D31" s="11">
        <v>20.83</v>
      </c>
      <c r="E31" s="11">
        <v>8.1199999999999992</v>
      </c>
      <c r="F31" s="11">
        <v>55012000</v>
      </c>
      <c r="G31" s="19">
        <f t="shared" si="0"/>
        <v>17.823061901216736</v>
      </c>
      <c r="H31" s="20">
        <v>-1.46</v>
      </c>
    </row>
    <row r="32" spans="2:8" x14ac:dyDescent="0.25">
      <c r="B32" s="11" t="s">
        <v>17</v>
      </c>
      <c r="C32" s="11">
        <v>7.25</v>
      </c>
      <c r="D32" s="11">
        <v>31.31</v>
      </c>
      <c r="E32" s="11">
        <v>4.24</v>
      </c>
      <c r="F32" s="11">
        <v>132798000</v>
      </c>
      <c r="G32" s="19">
        <f t="shared" si="0"/>
        <v>18.704339734652237</v>
      </c>
      <c r="H32" s="20">
        <v>10.46</v>
      </c>
    </row>
    <row r="33" spans="2:8" x14ac:dyDescent="0.25">
      <c r="B33" s="11" t="s">
        <v>113</v>
      </c>
      <c r="C33" s="11">
        <v>15.76</v>
      </c>
      <c r="D33" s="11">
        <v>21.27</v>
      </c>
      <c r="E33" s="11">
        <v>7.26</v>
      </c>
      <c r="F33" s="11">
        <v>65943000</v>
      </c>
      <c r="G33" s="19">
        <f t="shared" si="0"/>
        <v>18.00430129047832</v>
      </c>
      <c r="H33" s="20">
        <v>7.94</v>
      </c>
    </row>
    <row r="34" spans="2:8" x14ac:dyDescent="0.25">
      <c r="B34" s="11" t="s">
        <v>114</v>
      </c>
      <c r="C34" s="11">
        <v>7.13</v>
      </c>
      <c r="D34" s="11"/>
      <c r="E34" s="11">
        <v>0.42</v>
      </c>
      <c r="F34" s="11">
        <v>1573545000</v>
      </c>
      <c r="G34" s="19">
        <f t="shared" si="0"/>
        <v>21.176596872725199</v>
      </c>
      <c r="H34" s="20">
        <v>-90.03</v>
      </c>
    </row>
    <row r="35" spans="2:8" x14ac:dyDescent="0.25">
      <c r="B35" s="11" t="s">
        <v>32</v>
      </c>
      <c r="C35" s="11">
        <v>-3.09</v>
      </c>
      <c r="D35" s="11">
        <v>5.54</v>
      </c>
      <c r="E35" s="11">
        <v>-1.17</v>
      </c>
      <c r="F35" s="11">
        <v>207607000</v>
      </c>
      <c r="G35" s="19">
        <f t="shared" si="0"/>
        <v>19.151157427377335</v>
      </c>
      <c r="H35" s="20">
        <v>3.13</v>
      </c>
    </row>
    <row r="36" spans="2:8" x14ac:dyDescent="0.25">
      <c r="B36" s="11" t="s">
        <v>39</v>
      </c>
      <c r="C36" s="11">
        <v>4.96</v>
      </c>
      <c r="D36" s="11">
        <v>24.97</v>
      </c>
      <c r="E36" s="11">
        <v>3.5</v>
      </c>
      <c r="F36" s="11">
        <v>24743000</v>
      </c>
      <c r="G36" s="19">
        <f t="shared" si="0"/>
        <v>17.024053178692682</v>
      </c>
      <c r="H36" s="20">
        <v>3.1</v>
      </c>
    </row>
    <row r="37" spans="2:8" x14ac:dyDescent="0.25">
      <c r="B37" s="11" t="s">
        <v>47</v>
      </c>
      <c r="C37" s="11">
        <v>11.73</v>
      </c>
      <c r="D37" s="11">
        <v>18.41</v>
      </c>
      <c r="E37" s="11">
        <v>3.96</v>
      </c>
      <c r="F37" s="11">
        <v>12074000</v>
      </c>
      <c r="G37" s="19">
        <f t="shared" si="0"/>
        <v>16.306564938338507</v>
      </c>
      <c r="H37" s="20">
        <v>3.85</v>
      </c>
    </row>
    <row r="38" spans="2:8" x14ac:dyDescent="0.25">
      <c r="B38" s="11" t="s">
        <v>23</v>
      </c>
      <c r="C38" s="11">
        <v>14.51</v>
      </c>
      <c r="D38" s="11">
        <v>14.58</v>
      </c>
      <c r="E38" s="11">
        <v>2.54</v>
      </c>
      <c r="F38" s="11">
        <v>39989800</v>
      </c>
      <c r="G38" s="19">
        <f t="shared" si="0"/>
        <v>17.504134979560181</v>
      </c>
      <c r="H38" s="20">
        <v>3.06</v>
      </c>
    </row>
    <row r="39" spans="2:8" x14ac:dyDescent="0.25">
      <c r="B39" s="11" t="s">
        <v>16</v>
      </c>
      <c r="C39" s="11">
        <v>11.9</v>
      </c>
      <c r="D39" s="11">
        <v>20.07</v>
      </c>
      <c r="E39" s="11">
        <v>5.0199999999999996</v>
      </c>
      <c r="F39" s="11">
        <v>285487000</v>
      </c>
      <c r="G39" s="19">
        <f t="shared" si="0"/>
        <v>19.469707051873016</v>
      </c>
      <c r="H39" s="20">
        <v>27.2</v>
      </c>
    </row>
    <row r="40" spans="2:8" x14ac:dyDescent="0.25">
      <c r="B40" s="11" t="s">
        <v>41</v>
      </c>
      <c r="C40" s="11">
        <v>4</v>
      </c>
      <c r="D40" s="11">
        <v>59.24</v>
      </c>
      <c r="E40" s="11">
        <v>1.94</v>
      </c>
      <c r="F40" s="11">
        <v>53545600</v>
      </c>
      <c r="G40" s="19">
        <f t="shared" si="0"/>
        <v>17.796044185282391</v>
      </c>
      <c r="H40" s="20">
        <v>22.17</v>
      </c>
    </row>
    <row r="41" spans="2:8" x14ac:dyDescent="0.25">
      <c r="B41" s="11" t="s">
        <v>36</v>
      </c>
      <c r="C41" s="11">
        <v>9.52</v>
      </c>
      <c r="D41" s="11">
        <v>7.25</v>
      </c>
      <c r="E41" s="11">
        <v>2.13</v>
      </c>
      <c r="F41" s="11">
        <v>72959000</v>
      </c>
      <c r="G41" s="19">
        <f t="shared" si="0"/>
        <v>18.105408197496068</v>
      </c>
      <c r="H41" s="20">
        <v>10.36</v>
      </c>
    </row>
    <row r="42" spans="2:8" x14ac:dyDescent="0.25">
      <c r="B42" s="11" t="s">
        <v>21</v>
      </c>
      <c r="C42" s="11">
        <v>16.649999999999999</v>
      </c>
      <c r="D42" s="11">
        <v>17.52</v>
      </c>
      <c r="E42" s="11">
        <v>4.01</v>
      </c>
      <c r="F42" s="11">
        <v>129491000</v>
      </c>
      <c r="G42" s="19">
        <f t="shared" si="0"/>
        <v>18.679121938619264</v>
      </c>
      <c r="H42" s="20">
        <v>21.06</v>
      </c>
    </row>
    <row r="43" spans="2:8" x14ac:dyDescent="0.25">
      <c r="B43" s="11" t="s">
        <v>48</v>
      </c>
      <c r="C43" s="11">
        <v>-3.9</v>
      </c>
      <c r="D43" s="11">
        <v>-6.9</v>
      </c>
      <c r="E43" s="11">
        <v>-1.49</v>
      </c>
      <c r="F43" s="11">
        <v>7929000</v>
      </c>
      <c r="G43" s="19">
        <f t="shared" si="0"/>
        <v>15.886037482254537</v>
      </c>
      <c r="H43" s="20">
        <v>2.65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0A6A-3B7E-4BBF-BC20-252386EDF4D6}">
  <dimension ref="B3:D43"/>
  <sheetViews>
    <sheetView topLeftCell="A23" workbookViewId="0">
      <selection activeCell="C3" sqref="C3:D43"/>
    </sheetView>
  </sheetViews>
  <sheetFormatPr baseColWidth="10" defaultRowHeight="15" x14ac:dyDescent="0.25"/>
  <cols>
    <col min="2" max="2" width="25.7109375" bestFit="1" customWidth="1"/>
    <col min="3" max="3" width="18.7109375" bestFit="1" customWidth="1"/>
    <col min="4" max="4" width="16.140625" bestFit="1" customWidth="1"/>
  </cols>
  <sheetData>
    <row r="3" spans="2:4" x14ac:dyDescent="0.25">
      <c r="B3" s="1" t="s">
        <v>0</v>
      </c>
      <c r="C3" s="1" t="s">
        <v>117</v>
      </c>
      <c r="D3" s="1" t="s">
        <v>118</v>
      </c>
    </row>
    <row r="4" spans="2:4" x14ac:dyDescent="0.25">
      <c r="B4" s="11" t="s">
        <v>42</v>
      </c>
      <c r="C4" s="11">
        <v>0</v>
      </c>
      <c r="D4" s="11">
        <v>1</v>
      </c>
    </row>
    <row r="5" spans="2:4" x14ac:dyDescent="0.25">
      <c r="B5" s="11" t="s">
        <v>105</v>
      </c>
      <c r="C5" s="11">
        <v>1</v>
      </c>
      <c r="D5" s="11">
        <v>0</v>
      </c>
    </row>
    <row r="6" spans="2:4" x14ac:dyDescent="0.25">
      <c r="B6" s="11" t="s">
        <v>12</v>
      </c>
      <c r="C6" s="11">
        <v>1</v>
      </c>
      <c r="D6" s="11">
        <v>0</v>
      </c>
    </row>
    <row r="7" spans="2:4" x14ac:dyDescent="0.25">
      <c r="B7" s="11" t="s">
        <v>33</v>
      </c>
      <c r="C7" s="11">
        <v>1</v>
      </c>
      <c r="D7" s="11">
        <v>0</v>
      </c>
    </row>
    <row r="8" spans="2:4" x14ac:dyDescent="0.25">
      <c r="B8" s="11" t="s">
        <v>19</v>
      </c>
      <c r="C8" s="11">
        <v>0</v>
      </c>
      <c r="D8" s="11">
        <v>1</v>
      </c>
    </row>
    <row r="9" spans="2:4" x14ac:dyDescent="0.25">
      <c r="B9" s="11" t="s">
        <v>106</v>
      </c>
      <c r="C9" s="11">
        <v>0</v>
      </c>
      <c r="D9" s="11">
        <v>1</v>
      </c>
    </row>
    <row r="10" spans="2:4" x14ac:dyDescent="0.25">
      <c r="B10" s="11" t="s">
        <v>40</v>
      </c>
      <c r="C10" s="11">
        <v>1</v>
      </c>
      <c r="D10" s="11">
        <v>1</v>
      </c>
    </row>
    <row r="11" spans="2:4" x14ac:dyDescent="0.25">
      <c r="B11" s="11" t="s">
        <v>34</v>
      </c>
      <c r="C11" s="11">
        <v>0</v>
      </c>
      <c r="D11" s="11">
        <v>1</v>
      </c>
    </row>
    <row r="12" spans="2:4" x14ac:dyDescent="0.25">
      <c r="B12" s="11" t="s">
        <v>45</v>
      </c>
      <c r="C12" s="11">
        <v>0</v>
      </c>
      <c r="D12" s="11">
        <v>1</v>
      </c>
    </row>
    <row r="13" spans="2:4" x14ac:dyDescent="0.25">
      <c r="B13" s="11" t="s">
        <v>107</v>
      </c>
      <c r="C13" s="11">
        <v>1</v>
      </c>
      <c r="D13" s="11">
        <v>0</v>
      </c>
    </row>
    <row r="14" spans="2:4" x14ac:dyDescent="0.25">
      <c r="B14" s="11" t="s">
        <v>108</v>
      </c>
      <c r="C14" s="11">
        <v>0</v>
      </c>
      <c r="D14" s="11">
        <v>1</v>
      </c>
    </row>
    <row r="15" spans="2:4" x14ac:dyDescent="0.25">
      <c r="B15" s="11" t="s">
        <v>24</v>
      </c>
      <c r="C15" s="11">
        <v>1</v>
      </c>
      <c r="D15" s="11">
        <v>0</v>
      </c>
    </row>
    <row r="16" spans="2:4" x14ac:dyDescent="0.25">
      <c r="B16" s="11" t="s">
        <v>109</v>
      </c>
      <c r="C16" s="11">
        <v>0</v>
      </c>
      <c r="D16" s="11">
        <v>1</v>
      </c>
    </row>
    <row r="17" spans="2:4" x14ac:dyDescent="0.25">
      <c r="B17" s="11" t="s">
        <v>46</v>
      </c>
      <c r="C17" s="11">
        <v>0</v>
      </c>
      <c r="D17" s="11">
        <v>1</v>
      </c>
    </row>
    <row r="18" spans="2:4" x14ac:dyDescent="0.25">
      <c r="B18" s="11" t="s">
        <v>22</v>
      </c>
      <c r="C18" s="11">
        <v>1</v>
      </c>
      <c r="D18" s="11">
        <v>1</v>
      </c>
    </row>
    <row r="19" spans="2:4" x14ac:dyDescent="0.25">
      <c r="B19" s="11" t="s">
        <v>13</v>
      </c>
      <c r="C19" s="11">
        <v>1</v>
      </c>
      <c r="D19" s="11">
        <v>0</v>
      </c>
    </row>
    <row r="20" spans="2:4" x14ac:dyDescent="0.25">
      <c r="B20" s="11" t="s">
        <v>110</v>
      </c>
      <c r="C20" s="11">
        <v>0</v>
      </c>
      <c r="D20" s="11">
        <v>1</v>
      </c>
    </row>
    <row r="21" spans="2:4" x14ac:dyDescent="0.25">
      <c r="B21" s="11" t="s">
        <v>10</v>
      </c>
      <c r="C21" s="11">
        <v>1</v>
      </c>
      <c r="D21" s="11">
        <v>1</v>
      </c>
    </row>
    <row r="22" spans="2:4" x14ac:dyDescent="0.25">
      <c r="B22" s="11" t="s">
        <v>29</v>
      </c>
      <c r="C22" s="11">
        <v>1</v>
      </c>
      <c r="D22" s="11">
        <v>1</v>
      </c>
    </row>
    <row r="23" spans="2:4" x14ac:dyDescent="0.25">
      <c r="B23" s="11" t="s">
        <v>28</v>
      </c>
      <c r="C23" s="11">
        <v>1</v>
      </c>
      <c r="D23" s="11">
        <v>0</v>
      </c>
    </row>
    <row r="24" spans="2:4" x14ac:dyDescent="0.25">
      <c r="B24" s="11" t="s">
        <v>11</v>
      </c>
      <c r="C24" s="11">
        <v>1</v>
      </c>
      <c r="D24" s="11">
        <v>0</v>
      </c>
    </row>
    <row r="25" spans="2:4" x14ac:dyDescent="0.25">
      <c r="B25" s="11" t="s">
        <v>5</v>
      </c>
      <c r="C25" s="11">
        <v>1</v>
      </c>
      <c r="D25" s="11">
        <v>1</v>
      </c>
    </row>
    <row r="26" spans="2:4" x14ac:dyDescent="0.25">
      <c r="B26" s="11" t="s">
        <v>38</v>
      </c>
      <c r="C26" s="11">
        <v>1</v>
      </c>
      <c r="D26" s="11">
        <v>0</v>
      </c>
    </row>
    <row r="27" spans="2:4" x14ac:dyDescent="0.25">
      <c r="B27" s="11" t="s">
        <v>30</v>
      </c>
      <c r="C27" s="11">
        <v>0</v>
      </c>
      <c r="D27" s="11">
        <v>1</v>
      </c>
    </row>
    <row r="28" spans="2:4" x14ac:dyDescent="0.25">
      <c r="B28" s="11" t="s">
        <v>111</v>
      </c>
      <c r="C28" s="11">
        <v>1</v>
      </c>
      <c r="D28" s="11">
        <v>0</v>
      </c>
    </row>
    <row r="29" spans="2:4" x14ac:dyDescent="0.25">
      <c r="B29" s="11" t="s">
        <v>112</v>
      </c>
      <c r="C29" s="11">
        <v>0</v>
      </c>
      <c r="D29" s="11">
        <v>1</v>
      </c>
    </row>
    <row r="30" spans="2:4" x14ac:dyDescent="0.25">
      <c r="B30" s="11" t="s">
        <v>44</v>
      </c>
      <c r="C30" s="11">
        <v>1</v>
      </c>
      <c r="D30" s="11">
        <v>0</v>
      </c>
    </row>
    <row r="31" spans="2:4" x14ac:dyDescent="0.25">
      <c r="B31" s="11" t="s">
        <v>15</v>
      </c>
      <c r="C31" s="11">
        <v>1</v>
      </c>
      <c r="D31" s="11">
        <v>0</v>
      </c>
    </row>
    <row r="32" spans="2:4" x14ac:dyDescent="0.25">
      <c r="B32" s="11" t="s">
        <v>17</v>
      </c>
      <c r="C32" s="11">
        <v>1</v>
      </c>
      <c r="D32" s="11">
        <v>0</v>
      </c>
    </row>
    <row r="33" spans="2:4" x14ac:dyDescent="0.25">
      <c r="B33" s="11" t="s">
        <v>113</v>
      </c>
      <c r="C33" s="11">
        <v>1</v>
      </c>
      <c r="D33" s="11">
        <v>0</v>
      </c>
    </row>
    <row r="34" spans="2:4" x14ac:dyDescent="0.25">
      <c r="B34" s="11" t="s">
        <v>114</v>
      </c>
      <c r="C34" s="11">
        <v>0</v>
      </c>
      <c r="D34" s="11">
        <v>1</v>
      </c>
    </row>
    <row r="35" spans="2:4" x14ac:dyDescent="0.25">
      <c r="B35" s="11" t="s">
        <v>32</v>
      </c>
      <c r="C35" s="11">
        <v>1</v>
      </c>
      <c r="D35" s="11">
        <v>0</v>
      </c>
    </row>
    <row r="36" spans="2:4" x14ac:dyDescent="0.25">
      <c r="B36" s="11" t="s">
        <v>39</v>
      </c>
      <c r="C36" s="11">
        <v>1</v>
      </c>
      <c r="D36" s="11">
        <v>0</v>
      </c>
    </row>
    <row r="37" spans="2:4" x14ac:dyDescent="0.25">
      <c r="B37" s="11" t="s">
        <v>47</v>
      </c>
      <c r="C37" s="11">
        <v>0</v>
      </c>
      <c r="D37" s="11">
        <v>1</v>
      </c>
    </row>
    <row r="38" spans="2:4" x14ac:dyDescent="0.25">
      <c r="B38" s="11" t="s">
        <v>23</v>
      </c>
      <c r="C38" s="11">
        <v>1</v>
      </c>
      <c r="D38" s="11">
        <v>0</v>
      </c>
    </row>
    <row r="39" spans="2:4" x14ac:dyDescent="0.25">
      <c r="B39" s="11" t="s">
        <v>16</v>
      </c>
      <c r="C39" s="11">
        <v>1</v>
      </c>
      <c r="D39" s="11">
        <v>1</v>
      </c>
    </row>
    <row r="40" spans="2:4" x14ac:dyDescent="0.25">
      <c r="B40" s="11" t="s">
        <v>41</v>
      </c>
      <c r="C40" s="11">
        <v>0</v>
      </c>
      <c r="D40" s="11">
        <v>1</v>
      </c>
    </row>
    <row r="41" spans="2:4" x14ac:dyDescent="0.25">
      <c r="B41" s="11" t="s">
        <v>36</v>
      </c>
      <c r="C41" s="11">
        <v>0</v>
      </c>
      <c r="D41" s="11">
        <v>1</v>
      </c>
    </row>
    <row r="42" spans="2:4" x14ac:dyDescent="0.25">
      <c r="B42" s="11" t="s">
        <v>21</v>
      </c>
      <c r="C42" s="11">
        <v>1</v>
      </c>
      <c r="D42" s="11">
        <v>1</v>
      </c>
    </row>
    <row r="43" spans="2:4" x14ac:dyDescent="0.25">
      <c r="B43" s="11" t="s">
        <v>48</v>
      </c>
      <c r="C43" s="11">
        <v>0</v>
      </c>
      <c r="D43" s="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D10B-627E-4032-8778-6B7FC7F2436C}">
  <dimension ref="C2:AE42"/>
  <sheetViews>
    <sheetView tabSelected="1" topLeftCell="Q1" zoomScale="70" zoomScaleNormal="70" workbookViewId="0">
      <selection activeCell="C8" sqref="C2:AB42"/>
    </sheetView>
  </sheetViews>
  <sheetFormatPr baseColWidth="10" defaultRowHeight="15" x14ac:dyDescent="0.25"/>
  <cols>
    <col min="3" max="3" width="27.85546875" bestFit="1" customWidth="1"/>
    <col min="4" max="4" width="14" bestFit="1" customWidth="1"/>
    <col min="5" max="5" width="18.5703125" bestFit="1" customWidth="1"/>
    <col min="6" max="6" width="20.7109375" bestFit="1" customWidth="1"/>
    <col min="7" max="7" width="25.85546875" bestFit="1" customWidth="1"/>
    <col min="8" max="8" width="8.85546875" bestFit="1" customWidth="1"/>
    <col min="9" max="9" width="13.42578125" bestFit="1" customWidth="1"/>
    <col min="10" max="10" width="17.140625" bestFit="1" customWidth="1"/>
    <col min="11" max="11" width="21.7109375" bestFit="1" customWidth="1"/>
    <col min="12" max="12" width="25.28515625" bestFit="1" customWidth="1"/>
    <col min="13" max="13" width="30" bestFit="1" customWidth="1"/>
    <col min="14" max="14" width="32.85546875" bestFit="1" customWidth="1"/>
    <col min="15" max="15" width="37.28515625" bestFit="1" customWidth="1"/>
    <col min="16" max="16" width="46.28515625" bestFit="1" customWidth="1"/>
    <col min="17" max="17" width="50.140625" bestFit="1" customWidth="1"/>
    <col min="18" max="18" width="30.7109375" bestFit="1" customWidth="1"/>
    <col min="19" max="19" width="8.5703125" bestFit="1" customWidth="1"/>
    <col min="20" max="20" width="11.140625" bestFit="1" customWidth="1"/>
    <col min="21" max="21" width="18.28515625" bestFit="1" customWidth="1"/>
    <col min="22" max="22" width="22.42578125" bestFit="1" customWidth="1"/>
    <col min="23" max="23" width="7.42578125" bestFit="1" customWidth="1"/>
    <col min="25" max="25" width="14.85546875" bestFit="1" customWidth="1"/>
    <col min="26" max="26" width="30.28515625" bestFit="1" customWidth="1"/>
    <col min="27" max="27" width="24.5703125" bestFit="1" customWidth="1"/>
    <col min="28" max="28" width="21" bestFit="1" customWidth="1"/>
  </cols>
  <sheetData>
    <row r="2" spans="3:31" x14ac:dyDescent="0.25">
      <c r="C2" s="1" t="s">
        <v>0</v>
      </c>
      <c r="D2" s="1" t="s">
        <v>1</v>
      </c>
      <c r="E2" s="1" t="s">
        <v>58</v>
      </c>
      <c r="F2" s="1" t="s">
        <v>2</v>
      </c>
      <c r="G2" s="1" t="s">
        <v>59</v>
      </c>
      <c r="H2" s="1" t="s">
        <v>3</v>
      </c>
      <c r="I2" s="1" t="s">
        <v>60</v>
      </c>
      <c r="J2" s="1" t="s">
        <v>4</v>
      </c>
      <c r="K2" s="1" t="s">
        <v>61</v>
      </c>
      <c r="L2" s="1" t="s">
        <v>6</v>
      </c>
      <c r="M2" s="1" t="s">
        <v>62</v>
      </c>
      <c r="N2" s="1" t="s">
        <v>65</v>
      </c>
      <c r="O2" s="1" t="s">
        <v>66</v>
      </c>
      <c r="P2" s="1" t="s">
        <v>64</v>
      </c>
      <c r="Q2" s="1" t="s">
        <v>63</v>
      </c>
      <c r="R2" s="1" t="s">
        <v>57</v>
      </c>
      <c r="S2" s="1" t="s">
        <v>55</v>
      </c>
      <c r="T2" s="1" t="s">
        <v>67</v>
      </c>
      <c r="U2" s="1" t="s">
        <v>56</v>
      </c>
      <c r="V2" s="1" t="s">
        <v>68</v>
      </c>
      <c r="W2" s="1" t="s">
        <v>54</v>
      </c>
      <c r="X2" s="1" t="s">
        <v>69</v>
      </c>
      <c r="Y2" s="1" t="s">
        <v>104</v>
      </c>
      <c r="Z2" s="1" t="s">
        <v>116</v>
      </c>
      <c r="AA2" s="1" t="s">
        <v>117</v>
      </c>
      <c r="AB2" s="1" t="s">
        <v>118</v>
      </c>
    </row>
    <row r="3" spans="3:31" x14ac:dyDescent="0.25">
      <c r="C3" s="11" t="s">
        <v>42</v>
      </c>
      <c r="D3" s="11">
        <v>7</v>
      </c>
      <c r="E3" s="11">
        <f>D3/10</f>
        <v>0.7</v>
      </c>
      <c r="F3" s="11">
        <v>7</v>
      </c>
      <c r="G3" s="11">
        <f>F3/10</f>
        <v>0.7</v>
      </c>
      <c r="H3" s="11">
        <v>7</v>
      </c>
      <c r="I3" s="11">
        <f>H3/10</f>
        <v>0.7</v>
      </c>
      <c r="J3" s="11">
        <v>6</v>
      </c>
      <c r="K3" s="11">
        <f>J3/10</f>
        <v>0.6</v>
      </c>
      <c r="L3" s="11">
        <v>6</v>
      </c>
      <c r="M3" s="11">
        <f>L3/10</f>
        <v>0.6</v>
      </c>
      <c r="N3" s="11">
        <v>4</v>
      </c>
      <c r="O3" s="11">
        <f>N3/10</f>
        <v>0.4</v>
      </c>
      <c r="P3" s="11">
        <v>63</v>
      </c>
      <c r="Q3" s="11">
        <f>P3/100</f>
        <v>0.63</v>
      </c>
      <c r="R3" s="11">
        <f>E3*Q3</f>
        <v>0.44099999999999995</v>
      </c>
      <c r="S3" s="13">
        <v>12.25</v>
      </c>
      <c r="T3" s="13">
        <f>S3/100</f>
        <v>0.1225</v>
      </c>
      <c r="U3" s="13">
        <v>19.98</v>
      </c>
      <c r="V3" s="13">
        <f>U3/100</f>
        <v>0.19980000000000001</v>
      </c>
      <c r="W3" s="13">
        <v>5.23</v>
      </c>
      <c r="X3" s="13">
        <f>W3/100</f>
        <v>5.2300000000000006E-2</v>
      </c>
      <c r="Y3" s="11">
        <v>16.305155962099448</v>
      </c>
      <c r="Z3" s="11">
        <v>2.5</v>
      </c>
      <c r="AA3" s="11">
        <v>0</v>
      </c>
      <c r="AB3" s="11">
        <v>1</v>
      </c>
      <c r="AE3" s="16" t="s">
        <v>70</v>
      </c>
    </row>
    <row r="4" spans="3:31" x14ac:dyDescent="0.25">
      <c r="C4" s="11" t="s">
        <v>18</v>
      </c>
      <c r="D4" s="11">
        <v>8</v>
      </c>
      <c r="E4" s="11">
        <f t="shared" ref="E4:E42" si="0">D4/10</f>
        <v>0.8</v>
      </c>
      <c r="F4" s="11">
        <v>7</v>
      </c>
      <c r="G4" s="11">
        <f t="shared" ref="G4:G42" si="1">F4/10</f>
        <v>0.7</v>
      </c>
      <c r="H4" s="11">
        <v>8</v>
      </c>
      <c r="I4" s="11">
        <f t="shared" ref="I4:I42" si="2">H4/10</f>
        <v>0.8</v>
      </c>
      <c r="J4" s="11">
        <v>8</v>
      </c>
      <c r="K4" s="11">
        <f t="shared" ref="K4:K42" si="3">J4/10</f>
        <v>0.8</v>
      </c>
      <c r="L4" s="11">
        <v>5</v>
      </c>
      <c r="M4" s="11">
        <f t="shared" ref="M4:M42" si="4">L4/10</f>
        <v>0.5</v>
      </c>
      <c r="N4" s="11">
        <v>1</v>
      </c>
      <c r="O4" s="11">
        <f t="shared" ref="O4:O42" si="5">N4/10</f>
        <v>0.1</v>
      </c>
      <c r="P4" s="11">
        <v>83</v>
      </c>
      <c r="Q4" s="11">
        <f t="shared" ref="Q4:Q42" si="6">P4/100</f>
        <v>0.83</v>
      </c>
      <c r="R4" s="11">
        <f t="shared" ref="R4:R42" si="7">E4*Q4</f>
        <v>0.66400000000000003</v>
      </c>
      <c r="S4" s="13">
        <v>12.92</v>
      </c>
      <c r="T4" s="13">
        <f t="shared" ref="T4:T42" si="8">S4/100</f>
        <v>0.12920000000000001</v>
      </c>
      <c r="U4" s="13">
        <v>29.18</v>
      </c>
      <c r="V4" s="13">
        <f t="shared" ref="V4:V42" si="9">U4/100</f>
        <v>0.2918</v>
      </c>
      <c r="W4" s="13">
        <v>6.6</v>
      </c>
      <c r="X4" s="13">
        <f t="shared" ref="X4:X42" si="10">W4/100</f>
        <v>6.6000000000000003E-2</v>
      </c>
      <c r="Y4" s="11">
        <v>17.764202947749432</v>
      </c>
      <c r="Z4" s="11">
        <v>10.63</v>
      </c>
      <c r="AA4" s="11">
        <v>1</v>
      </c>
      <c r="AB4" s="11">
        <v>0</v>
      </c>
      <c r="AE4" s="18" t="s">
        <v>71</v>
      </c>
    </row>
    <row r="5" spans="3:31" x14ac:dyDescent="0.25">
      <c r="C5" s="11" t="s">
        <v>12</v>
      </c>
      <c r="D5" s="11">
        <v>7</v>
      </c>
      <c r="E5" s="11">
        <f t="shared" si="0"/>
        <v>0.7</v>
      </c>
      <c r="F5" s="11">
        <v>9</v>
      </c>
      <c r="G5" s="11">
        <f t="shared" si="1"/>
        <v>0.9</v>
      </c>
      <c r="H5" s="11">
        <v>8</v>
      </c>
      <c r="I5" s="11">
        <f t="shared" si="2"/>
        <v>0.8</v>
      </c>
      <c r="J5" s="11">
        <v>6</v>
      </c>
      <c r="K5" s="11">
        <f t="shared" si="3"/>
        <v>0.6</v>
      </c>
      <c r="L5" s="11">
        <v>5</v>
      </c>
      <c r="M5" s="11">
        <f t="shared" si="4"/>
        <v>0.5</v>
      </c>
      <c r="N5" s="11">
        <v>2</v>
      </c>
      <c r="O5" s="11">
        <f t="shared" si="5"/>
        <v>0.2</v>
      </c>
      <c r="P5" s="11">
        <v>68</v>
      </c>
      <c r="Q5" s="11">
        <f t="shared" si="6"/>
        <v>0.68</v>
      </c>
      <c r="R5" s="11">
        <f t="shared" si="7"/>
        <v>0.47599999999999998</v>
      </c>
      <c r="S5" s="13">
        <v>21.4</v>
      </c>
      <c r="T5" s="13">
        <f t="shared" si="8"/>
        <v>0.214</v>
      </c>
      <c r="U5" s="13">
        <v>11.85</v>
      </c>
      <c r="V5" s="13">
        <f t="shared" si="9"/>
        <v>0.11849999999999999</v>
      </c>
      <c r="W5" s="13">
        <v>3.22</v>
      </c>
      <c r="X5" s="13">
        <f t="shared" si="10"/>
        <v>3.2199999999999999E-2</v>
      </c>
      <c r="Y5" s="11">
        <v>18.094285562827682</v>
      </c>
      <c r="Z5" s="11">
        <v>-3.73</v>
      </c>
      <c r="AA5" s="11">
        <v>1</v>
      </c>
      <c r="AB5" s="11">
        <v>0</v>
      </c>
    </row>
    <row r="6" spans="3:31" x14ac:dyDescent="0.25">
      <c r="C6" s="11" t="s">
        <v>33</v>
      </c>
      <c r="D6" s="11">
        <v>7</v>
      </c>
      <c r="E6" s="11">
        <f t="shared" si="0"/>
        <v>0.7</v>
      </c>
      <c r="F6" s="11">
        <v>6</v>
      </c>
      <c r="G6" s="11">
        <f t="shared" si="1"/>
        <v>0.6</v>
      </c>
      <c r="H6" s="11">
        <v>7</v>
      </c>
      <c r="I6" s="11">
        <f t="shared" si="2"/>
        <v>0.7</v>
      </c>
      <c r="J6" s="11">
        <v>7</v>
      </c>
      <c r="K6" s="11">
        <f t="shared" si="3"/>
        <v>0.7</v>
      </c>
      <c r="L6" s="11">
        <v>7</v>
      </c>
      <c r="M6" s="11">
        <f t="shared" si="4"/>
        <v>0.7</v>
      </c>
      <c r="N6" s="11">
        <v>7</v>
      </c>
      <c r="O6" s="11">
        <f t="shared" si="5"/>
        <v>0.7</v>
      </c>
      <c r="P6" s="11">
        <v>35</v>
      </c>
      <c r="Q6" s="11">
        <f t="shared" si="6"/>
        <v>0.35</v>
      </c>
      <c r="R6" s="11">
        <f t="shared" si="7"/>
        <v>0.24499999999999997</v>
      </c>
      <c r="S6" s="13">
        <v>2.6</v>
      </c>
      <c r="T6" s="13">
        <f t="shared" si="8"/>
        <v>2.6000000000000002E-2</v>
      </c>
      <c r="U6" s="13">
        <v>11.3</v>
      </c>
      <c r="V6" s="13">
        <f t="shared" si="9"/>
        <v>0.113</v>
      </c>
      <c r="W6" s="13">
        <v>1.46</v>
      </c>
      <c r="X6" s="13">
        <f t="shared" si="10"/>
        <v>1.46E-2</v>
      </c>
      <c r="Y6" s="11">
        <v>17.032023593643288</v>
      </c>
      <c r="Z6" s="11">
        <v>5.16</v>
      </c>
      <c r="AA6" s="11">
        <v>1</v>
      </c>
      <c r="AB6" s="11">
        <v>0</v>
      </c>
    </row>
    <row r="7" spans="3:31" x14ac:dyDescent="0.25">
      <c r="C7" s="11" t="s">
        <v>19</v>
      </c>
      <c r="D7" s="11">
        <v>8</v>
      </c>
      <c r="E7" s="11">
        <f t="shared" si="0"/>
        <v>0.8</v>
      </c>
      <c r="F7" s="11">
        <v>7</v>
      </c>
      <c r="G7" s="11">
        <f t="shared" si="1"/>
        <v>0.7</v>
      </c>
      <c r="H7" s="11">
        <v>7</v>
      </c>
      <c r="I7" s="11">
        <f t="shared" si="2"/>
        <v>0.7</v>
      </c>
      <c r="J7" s="11">
        <v>9</v>
      </c>
      <c r="K7" s="11">
        <f t="shared" si="3"/>
        <v>0.9</v>
      </c>
      <c r="L7" s="11">
        <v>7</v>
      </c>
      <c r="M7" s="11">
        <f t="shared" si="4"/>
        <v>0.7</v>
      </c>
      <c r="N7" s="11">
        <v>7</v>
      </c>
      <c r="O7" s="11">
        <f t="shared" si="5"/>
        <v>0.7</v>
      </c>
      <c r="P7" s="11">
        <v>86</v>
      </c>
      <c r="Q7" s="11">
        <f t="shared" si="6"/>
        <v>0.86</v>
      </c>
      <c r="R7" s="11">
        <f t="shared" si="7"/>
        <v>0.68800000000000006</v>
      </c>
      <c r="S7" s="13">
        <v>15.2</v>
      </c>
      <c r="T7" s="13">
        <f t="shared" si="8"/>
        <v>0.152</v>
      </c>
      <c r="U7">
        <v>10.9</v>
      </c>
      <c r="V7" s="13">
        <f t="shared" si="9"/>
        <v>0.109</v>
      </c>
      <c r="W7" s="13">
        <v>2.4700000000000002</v>
      </c>
      <c r="X7" s="13">
        <f t="shared" si="10"/>
        <v>2.4700000000000003E-2</v>
      </c>
      <c r="Y7" s="11">
        <v>20.298253904341742</v>
      </c>
      <c r="Z7" s="11">
        <v>43.46</v>
      </c>
      <c r="AA7" s="11">
        <v>0</v>
      </c>
      <c r="AB7" s="11">
        <v>1</v>
      </c>
    </row>
    <row r="8" spans="3:31" x14ac:dyDescent="0.25">
      <c r="C8" s="11" t="s">
        <v>20</v>
      </c>
      <c r="D8" s="11">
        <v>8</v>
      </c>
      <c r="E8" s="11">
        <f t="shared" si="0"/>
        <v>0.8</v>
      </c>
      <c r="F8" s="11">
        <v>8</v>
      </c>
      <c r="G8" s="11">
        <f t="shared" si="1"/>
        <v>0.8</v>
      </c>
      <c r="H8" s="11">
        <v>8</v>
      </c>
      <c r="I8" s="11">
        <f t="shared" si="2"/>
        <v>0.8</v>
      </c>
      <c r="J8" s="11">
        <v>8</v>
      </c>
      <c r="K8" s="11">
        <f t="shared" si="3"/>
        <v>0.8</v>
      </c>
      <c r="L8" s="11">
        <v>5</v>
      </c>
      <c r="M8" s="11">
        <f t="shared" si="4"/>
        <v>0.5</v>
      </c>
      <c r="N8" s="11">
        <v>1</v>
      </c>
      <c r="O8" s="11">
        <f t="shared" si="5"/>
        <v>0.1</v>
      </c>
      <c r="P8" s="11">
        <v>57</v>
      </c>
      <c r="Q8" s="11">
        <f t="shared" si="6"/>
        <v>0.56999999999999995</v>
      </c>
      <c r="R8" s="11">
        <f t="shared" si="7"/>
        <v>0.45599999999999996</v>
      </c>
      <c r="S8" s="13">
        <v>9.9</v>
      </c>
      <c r="T8" s="13">
        <f t="shared" si="8"/>
        <v>9.9000000000000005E-2</v>
      </c>
      <c r="U8" s="15">
        <v>64</v>
      </c>
      <c r="V8" s="13">
        <f t="shared" si="9"/>
        <v>0.64</v>
      </c>
      <c r="W8" s="13">
        <v>0.44</v>
      </c>
      <c r="X8" s="13">
        <f t="shared" si="10"/>
        <v>4.4000000000000003E-3</v>
      </c>
      <c r="Y8" s="11">
        <v>21.718333737575893</v>
      </c>
      <c r="Z8" s="11">
        <v>71.849999999999994</v>
      </c>
      <c r="AA8" s="11">
        <v>0</v>
      </c>
      <c r="AB8" s="11">
        <v>1</v>
      </c>
    </row>
    <row r="9" spans="3:31" x14ac:dyDescent="0.25">
      <c r="C9" s="11" t="s">
        <v>40</v>
      </c>
      <c r="D9" s="11">
        <v>7</v>
      </c>
      <c r="E9" s="11">
        <f t="shared" si="0"/>
        <v>0.7</v>
      </c>
      <c r="F9" s="11">
        <v>7</v>
      </c>
      <c r="G9" s="11">
        <f t="shared" si="1"/>
        <v>0.7</v>
      </c>
      <c r="H9" s="11">
        <v>8</v>
      </c>
      <c r="I9" s="11">
        <f t="shared" si="2"/>
        <v>0.8</v>
      </c>
      <c r="J9" s="11">
        <v>4</v>
      </c>
      <c r="K9" s="11">
        <f t="shared" si="3"/>
        <v>0.4</v>
      </c>
      <c r="L9" s="11">
        <v>4</v>
      </c>
      <c r="M9" s="11">
        <f t="shared" si="4"/>
        <v>0.4</v>
      </c>
      <c r="N9" s="11">
        <v>2</v>
      </c>
      <c r="O9" s="11">
        <f t="shared" si="5"/>
        <v>0.2</v>
      </c>
      <c r="P9" s="11">
        <v>88</v>
      </c>
      <c r="Q9" s="11">
        <f t="shared" si="6"/>
        <v>0.88</v>
      </c>
      <c r="R9" s="11">
        <f t="shared" si="7"/>
        <v>0.61599999999999999</v>
      </c>
      <c r="S9" s="13">
        <v>8.43</v>
      </c>
      <c r="T9" s="13">
        <f t="shared" si="8"/>
        <v>8.43E-2</v>
      </c>
      <c r="U9" s="13">
        <v>8.35</v>
      </c>
      <c r="V9" s="13">
        <f t="shared" si="9"/>
        <v>8.3499999999999991E-2</v>
      </c>
      <c r="W9" s="13">
        <v>1.71</v>
      </c>
      <c r="X9" s="13">
        <f t="shared" si="10"/>
        <v>1.7100000000000001E-2</v>
      </c>
      <c r="Y9" s="11">
        <v>17.959977729589585</v>
      </c>
      <c r="Z9" s="11">
        <v>9.18</v>
      </c>
      <c r="AA9" s="11">
        <v>1</v>
      </c>
      <c r="AB9" s="11">
        <v>1</v>
      </c>
    </row>
    <row r="10" spans="3:31" x14ac:dyDescent="0.25">
      <c r="C10" s="11" t="s">
        <v>34</v>
      </c>
      <c r="D10" s="11">
        <v>6</v>
      </c>
      <c r="E10" s="11">
        <f t="shared" si="0"/>
        <v>0.6</v>
      </c>
      <c r="F10" s="11">
        <v>8</v>
      </c>
      <c r="G10" s="11">
        <f t="shared" si="1"/>
        <v>0.8</v>
      </c>
      <c r="H10" s="11">
        <v>8</v>
      </c>
      <c r="I10" s="11">
        <f t="shared" si="2"/>
        <v>0.8</v>
      </c>
      <c r="J10" s="11">
        <v>4</v>
      </c>
      <c r="K10" s="11">
        <f t="shared" si="3"/>
        <v>0.4</v>
      </c>
      <c r="L10" s="11">
        <v>6</v>
      </c>
      <c r="M10" s="11">
        <f t="shared" si="4"/>
        <v>0.6</v>
      </c>
      <c r="N10" s="11">
        <v>10</v>
      </c>
      <c r="O10" s="11">
        <f t="shared" si="5"/>
        <v>1</v>
      </c>
      <c r="P10" s="11">
        <v>82</v>
      </c>
      <c r="Q10" s="11">
        <f t="shared" si="6"/>
        <v>0.82</v>
      </c>
      <c r="R10" s="11">
        <f t="shared" si="7"/>
        <v>0.49199999999999994</v>
      </c>
      <c r="S10" s="13">
        <v>15.03</v>
      </c>
      <c r="T10" s="13">
        <f t="shared" si="8"/>
        <v>0.15029999999999999</v>
      </c>
      <c r="U10" s="13">
        <v>16.37</v>
      </c>
      <c r="V10" s="13">
        <f t="shared" si="9"/>
        <v>0.16370000000000001</v>
      </c>
      <c r="W10" s="13">
        <v>6.64</v>
      </c>
      <c r="X10" s="13">
        <f t="shared" si="10"/>
        <v>6.6400000000000001E-2</v>
      </c>
      <c r="Y10" s="11">
        <v>17.060443917151765</v>
      </c>
      <c r="Z10" s="11">
        <v>3.29</v>
      </c>
      <c r="AA10" s="11">
        <v>0</v>
      </c>
      <c r="AB10" s="11">
        <v>1</v>
      </c>
    </row>
    <row r="11" spans="3:31" x14ac:dyDescent="0.25">
      <c r="C11" s="11" t="s">
        <v>45</v>
      </c>
      <c r="D11" s="11">
        <v>7</v>
      </c>
      <c r="E11" s="11">
        <f t="shared" si="0"/>
        <v>0.7</v>
      </c>
      <c r="F11" s="11">
        <v>8</v>
      </c>
      <c r="G11" s="11">
        <f t="shared" si="1"/>
        <v>0.8</v>
      </c>
      <c r="H11" s="11">
        <v>8</v>
      </c>
      <c r="I11" s="11">
        <f t="shared" si="2"/>
        <v>0.8</v>
      </c>
      <c r="J11" s="11">
        <v>6</v>
      </c>
      <c r="K11" s="11">
        <f t="shared" si="3"/>
        <v>0.6</v>
      </c>
      <c r="L11" s="11">
        <v>5</v>
      </c>
      <c r="M11" s="11">
        <f t="shared" si="4"/>
        <v>0.5</v>
      </c>
      <c r="N11" s="11">
        <v>3</v>
      </c>
      <c r="O11" s="11">
        <f t="shared" si="5"/>
        <v>0.3</v>
      </c>
      <c r="P11" s="11">
        <v>99</v>
      </c>
      <c r="Q11" s="11">
        <f t="shared" si="6"/>
        <v>0.99</v>
      </c>
      <c r="R11" s="11">
        <f t="shared" si="7"/>
        <v>0.69299999999999995</v>
      </c>
      <c r="S11" s="13">
        <v>9.67</v>
      </c>
      <c r="T11" s="13">
        <f t="shared" si="8"/>
        <v>9.6699999999999994E-2</v>
      </c>
      <c r="U11" s="13">
        <v>5.43</v>
      </c>
      <c r="V11" s="13">
        <f t="shared" si="9"/>
        <v>5.4299999999999994E-2</v>
      </c>
      <c r="W11" s="13">
        <v>1.27</v>
      </c>
      <c r="X11" s="13">
        <f t="shared" si="10"/>
        <v>1.2699999999999999E-2</v>
      </c>
      <c r="Y11" s="11">
        <v>17.864910054143206</v>
      </c>
      <c r="Z11" s="11">
        <v>-1.5</v>
      </c>
      <c r="AA11" s="11">
        <v>0</v>
      </c>
      <c r="AB11" s="11">
        <v>1</v>
      </c>
    </row>
    <row r="12" spans="3:31" x14ac:dyDescent="0.25">
      <c r="C12" s="11" t="s">
        <v>27</v>
      </c>
      <c r="D12" s="11">
        <v>8</v>
      </c>
      <c r="E12" s="11">
        <f t="shared" si="0"/>
        <v>0.8</v>
      </c>
      <c r="F12" s="11">
        <v>9</v>
      </c>
      <c r="G12" s="11">
        <f t="shared" si="1"/>
        <v>0.9</v>
      </c>
      <c r="H12" s="11">
        <v>8</v>
      </c>
      <c r="I12" s="11">
        <f t="shared" si="2"/>
        <v>0.8</v>
      </c>
      <c r="J12" s="11">
        <v>8</v>
      </c>
      <c r="K12" s="11">
        <f t="shared" si="3"/>
        <v>0.8</v>
      </c>
      <c r="L12" s="11">
        <v>5</v>
      </c>
      <c r="M12" s="11">
        <f t="shared" si="4"/>
        <v>0.5</v>
      </c>
      <c r="N12" s="11">
        <v>2</v>
      </c>
      <c r="O12" s="11">
        <f t="shared" si="5"/>
        <v>0.2</v>
      </c>
      <c r="P12" s="11">
        <v>52</v>
      </c>
      <c r="Q12" s="11">
        <f t="shared" si="6"/>
        <v>0.52</v>
      </c>
      <c r="R12" s="11">
        <f t="shared" si="7"/>
        <v>0.41600000000000004</v>
      </c>
      <c r="S12" s="13">
        <v>11.75</v>
      </c>
      <c r="T12" s="13">
        <f t="shared" si="8"/>
        <v>0.11749999999999999</v>
      </c>
      <c r="U12" s="13">
        <v>15.47</v>
      </c>
      <c r="V12" s="13">
        <f t="shared" si="9"/>
        <v>0.1547</v>
      </c>
      <c r="W12" s="13">
        <v>4.78</v>
      </c>
      <c r="X12" s="13">
        <f t="shared" si="10"/>
        <v>4.7800000000000002E-2</v>
      </c>
      <c r="Y12" s="11">
        <v>17.9380861805272</v>
      </c>
      <c r="Z12" s="11">
        <v>9.3800000000000008</v>
      </c>
      <c r="AA12" s="11">
        <v>1</v>
      </c>
      <c r="AB12" s="11">
        <v>0</v>
      </c>
    </row>
    <row r="13" spans="3:31" x14ac:dyDescent="0.25">
      <c r="C13" s="11" t="s">
        <v>25</v>
      </c>
      <c r="D13" s="11">
        <v>6</v>
      </c>
      <c r="E13" s="11">
        <f t="shared" si="0"/>
        <v>0.6</v>
      </c>
      <c r="F13" s="11">
        <v>9</v>
      </c>
      <c r="G13" s="11">
        <f t="shared" si="1"/>
        <v>0.9</v>
      </c>
      <c r="H13" s="11">
        <v>6</v>
      </c>
      <c r="I13" s="11">
        <f t="shared" si="2"/>
        <v>0.6</v>
      </c>
      <c r="J13" s="11">
        <v>5</v>
      </c>
      <c r="K13" s="11">
        <f t="shared" si="3"/>
        <v>0.5</v>
      </c>
      <c r="L13" s="11">
        <v>6</v>
      </c>
      <c r="M13" s="11">
        <f t="shared" si="4"/>
        <v>0.6</v>
      </c>
      <c r="N13" s="11">
        <v>8</v>
      </c>
      <c r="O13" s="11">
        <f t="shared" si="5"/>
        <v>0.8</v>
      </c>
      <c r="P13" s="11">
        <v>57</v>
      </c>
      <c r="Q13" s="11">
        <f t="shared" si="6"/>
        <v>0.56999999999999995</v>
      </c>
      <c r="R13" s="11">
        <f t="shared" si="7"/>
        <v>0.34199999999999997</v>
      </c>
      <c r="S13" s="13">
        <v>9.23</v>
      </c>
      <c r="T13" s="13">
        <f t="shared" si="8"/>
        <v>9.2300000000000007E-2</v>
      </c>
      <c r="U13" s="15">
        <v>56</v>
      </c>
      <c r="V13" s="13">
        <f t="shared" si="9"/>
        <v>0.56000000000000005</v>
      </c>
      <c r="W13" s="13">
        <v>0.28999999999999998</v>
      </c>
      <c r="X13" s="13">
        <f t="shared" si="10"/>
        <v>2.8999999999999998E-3</v>
      </c>
      <c r="Y13" s="11">
        <v>21.560418984732397</v>
      </c>
      <c r="Z13" s="11">
        <v>-265.89999999999998</v>
      </c>
      <c r="AA13" s="11">
        <v>0</v>
      </c>
      <c r="AB13" s="11">
        <v>1</v>
      </c>
    </row>
    <row r="14" spans="3:31" x14ac:dyDescent="0.25">
      <c r="C14" s="11" t="s">
        <v>24</v>
      </c>
      <c r="D14" s="11">
        <v>9</v>
      </c>
      <c r="E14" s="11">
        <f t="shared" si="0"/>
        <v>0.9</v>
      </c>
      <c r="F14" s="11">
        <v>9</v>
      </c>
      <c r="G14" s="11">
        <f t="shared" si="1"/>
        <v>0.9</v>
      </c>
      <c r="H14" s="11">
        <v>9</v>
      </c>
      <c r="I14" s="11">
        <f t="shared" si="2"/>
        <v>0.9</v>
      </c>
      <c r="J14" s="11">
        <v>8</v>
      </c>
      <c r="K14" s="11">
        <f t="shared" si="3"/>
        <v>0.8</v>
      </c>
      <c r="L14" s="11">
        <v>5</v>
      </c>
      <c r="M14" s="11">
        <f t="shared" si="4"/>
        <v>0.5</v>
      </c>
      <c r="N14" s="11">
        <v>0</v>
      </c>
      <c r="O14" s="11">
        <f t="shared" si="5"/>
        <v>0</v>
      </c>
      <c r="P14" s="11">
        <v>82</v>
      </c>
      <c r="Q14" s="11">
        <f t="shared" si="6"/>
        <v>0.82</v>
      </c>
      <c r="R14" s="11">
        <f t="shared" si="7"/>
        <v>0.73799999999999999</v>
      </c>
      <c r="S14" s="13">
        <v>13.81</v>
      </c>
      <c r="T14" s="13">
        <f t="shared" si="8"/>
        <v>0.1381</v>
      </c>
      <c r="U14" s="13">
        <v>17.260000000000002</v>
      </c>
      <c r="V14" s="13">
        <f t="shared" si="9"/>
        <v>0.1726</v>
      </c>
      <c r="W14" s="13">
        <v>4.5</v>
      </c>
      <c r="X14" s="13">
        <f t="shared" si="10"/>
        <v>4.4999999999999998E-2</v>
      </c>
      <c r="Y14" s="11">
        <v>17.628640974416069</v>
      </c>
      <c r="Z14" s="11">
        <v>12.72</v>
      </c>
      <c r="AA14" s="11">
        <v>1</v>
      </c>
      <c r="AB14" s="11">
        <v>0</v>
      </c>
    </row>
    <row r="15" spans="3:31" x14ac:dyDescent="0.25">
      <c r="C15" s="11" t="s">
        <v>31</v>
      </c>
      <c r="D15" s="11">
        <v>6</v>
      </c>
      <c r="E15" s="11">
        <f t="shared" si="0"/>
        <v>0.6</v>
      </c>
      <c r="F15" s="11">
        <v>8</v>
      </c>
      <c r="G15" s="11">
        <f t="shared" si="1"/>
        <v>0.8</v>
      </c>
      <c r="H15" s="11">
        <v>9</v>
      </c>
      <c r="I15" s="11">
        <f t="shared" si="2"/>
        <v>0.9</v>
      </c>
      <c r="J15" s="11">
        <v>3</v>
      </c>
      <c r="K15" s="11">
        <f t="shared" si="3"/>
        <v>0.3</v>
      </c>
      <c r="L15" s="11">
        <v>6</v>
      </c>
      <c r="M15" s="11">
        <f t="shared" si="4"/>
        <v>0.6</v>
      </c>
      <c r="N15" s="11">
        <v>10</v>
      </c>
      <c r="O15" s="11">
        <f t="shared" si="5"/>
        <v>1</v>
      </c>
      <c r="P15" s="11">
        <v>66</v>
      </c>
      <c r="Q15" s="11">
        <f t="shared" si="6"/>
        <v>0.66</v>
      </c>
      <c r="R15" s="11">
        <f t="shared" si="7"/>
        <v>0.39600000000000002</v>
      </c>
      <c r="S15" s="13">
        <v>20.18</v>
      </c>
      <c r="T15" s="13">
        <f t="shared" si="8"/>
        <v>0.20180000000000001</v>
      </c>
      <c r="U15" s="13">
        <v>35.01</v>
      </c>
      <c r="V15" s="13">
        <f t="shared" si="9"/>
        <v>0.35009999999999997</v>
      </c>
      <c r="W15" s="13">
        <v>7.96</v>
      </c>
      <c r="X15" s="13">
        <f t="shared" si="10"/>
        <v>7.9600000000000004E-2</v>
      </c>
      <c r="Y15" s="11">
        <v>16.559307496228779</v>
      </c>
      <c r="Z15" s="11">
        <v>-0.89</v>
      </c>
      <c r="AA15" s="11">
        <v>0</v>
      </c>
      <c r="AB15" s="11">
        <v>1</v>
      </c>
    </row>
    <row r="16" spans="3:31" x14ac:dyDescent="0.25">
      <c r="C16" s="11" t="s">
        <v>46</v>
      </c>
      <c r="D16" s="11">
        <v>7</v>
      </c>
      <c r="E16" s="11">
        <f t="shared" si="0"/>
        <v>0.7</v>
      </c>
      <c r="F16" s="11">
        <v>7</v>
      </c>
      <c r="G16" s="11">
        <f t="shared" si="1"/>
        <v>0.7</v>
      </c>
      <c r="H16" s="11">
        <v>8</v>
      </c>
      <c r="I16" s="11">
        <f t="shared" si="2"/>
        <v>0.8</v>
      </c>
      <c r="J16" s="11">
        <v>7</v>
      </c>
      <c r="K16" s="11">
        <f t="shared" si="3"/>
        <v>0.7</v>
      </c>
      <c r="L16" s="11">
        <v>7</v>
      </c>
      <c r="M16" s="11">
        <f t="shared" si="4"/>
        <v>0.7</v>
      </c>
      <c r="N16" s="11">
        <v>10</v>
      </c>
      <c r="O16" s="11">
        <f t="shared" si="5"/>
        <v>1</v>
      </c>
      <c r="P16" s="11">
        <v>71</v>
      </c>
      <c r="Q16" s="11">
        <f t="shared" si="6"/>
        <v>0.71</v>
      </c>
      <c r="R16" s="11">
        <f t="shared" si="7"/>
        <v>0.49699999999999994</v>
      </c>
      <c r="S16" s="17">
        <v>-67.37</v>
      </c>
      <c r="T16" s="13">
        <f t="shared" si="8"/>
        <v>-0.67370000000000008</v>
      </c>
      <c r="U16" s="13">
        <v>44.29</v>
      </c>
      <c r="V16" s="13">
        <f t="shared" si="9"/>
        <v>0.44290000000000002</v>
      </c>
      <c r="W16" s="13">
        <v>3.82</v>
      </c>
      <c r="X16" s="13">
        <f t="shared" si="10"/>
        <v>3.8199999999999998E-2</v>
      </c>
      <c r="Y16" s="11">
        <v>16.40071492906764</v>
      </c>
      <c r="Z16" s="11">
        <v>2.9</v>
      </c>
      <c r="AA16" s="11">
        <v>0</v>
      </c>
      <c r="AB16" s="11">
        <v>1</v>
      </c>
    </row>
    <row r="17" spans="3:28" x14ac:dyDescent="0.25">
      <c r="C17" s="11" t="s">
        <v>22</v>
      </c>
      <c r="D17" s="11">
        <v>7</v>
      </c>
      <c r="E17" s="11">
        <f t="shared" si="0"/>
        <v>0.7</v>
      </c>
      <c r="F17" s="11">
        <v>7</v>
      </c>
      <c r="G17" s="11">
        <f t="shared" si="1"/>
        <v>0.7</v>
      </c>
      <c r="H17" s="11">
        <v>8</v>
      </c>
      <c r="I17" s="11">
        <f t="shared" si="2"/>
        <v>0.8</v>
      </c>
      <c r="J17" s="11">
        <v>6</v>
      </c>
      <c r="K17" s="11">
        <f t="shared" si="3"/>
        <v>0.6</v>
      </c>
      <c r="L17" s="11">
        <v>7</v>
      </c>
      <c r="M17" s="11">
        <f t="shared" si="4"/>
        <v>0.7</v>
      </c>
      <c r="N17" s="11">
        <v>10</v>
      </c>
      <c r="O17" s="11">
        <f t="shared" si="5"/>
        <v>1</v>
      </c>
      <c r="P17" s="11">
        <v>88</v>
      </c>
      <c r="Q17" s="11">
        <f t="shared" si="6"/>
        <v>0.88</v>
      </c>
      <c r="R17" s="11">
        <f t="shared" si="7"/>
        <v>0.61599999999999999</v>
      </c>
      <c r="S17" s="12">
        <v>12.89</v>
      </c>
      <c r="T17" s="13">
        <f t="shared" si="8"/>
        <v>0.12890000000000001</v>
      </c>
      <c r="U17" s="12">
        <v>18.309999999999999</v>
      </c>
      <c r="V17" s="13">
        <f t="shared" si="9"/>
        <v>0.18309999999999998</v>
      </c>
      <c r="W17" s="12">
        <v>2.87</v>
      </c>
      <c r="X17" s="13">
        <f t="shared" si="10"/>
        <v>2.87E-2</v>
      </c>
      <c r="Y17" s="11">
        <v>19.06013174550845</v>
      </c>
      <c r="Z17" s="11">
        <v>35.08</v>
      </c>
      <c r="AA17" s="11">
        <v>1</v>
      </c>
      <c r="AB17" s="11">
        <v>1</v>
      </c>
    </row>
    <row r="18" spans="3:28" x14ac:dyDescent="0.25">
      <c r="C18" s="11" t="s">
        <v>13</v>
      </c>
      <c r="D18" s="11">
        <v>6</v>
      </c>
      <c r="E18" s="11">
        <f t="shared" si="0"/>
        <v>0.6</v>
      </c>
      <c r="F18" s="11">
        <v>6</v>
      </c>
      <c r="G18" s="11">
        <f t="shared" si="1"/>
        <v>0.6</v>
      </c>
      <c r="H18" s="11">
        <v>8</v>
      </c>
      <c r="I18" s="11">
        <f t="shared" si="2"/>
        <v>0.8</v>
      </c>
      <c r="J18" s="11">
        <v>5</v>
      </c>
      <c r="K18" s="11">
        <f t="shared" si="3"/>
        <v>0.5</v>
      </c>
      <c r="L18" s="11">
        <v>6</v>
      </c>
      <c r="M18" s="11">
        <f t="shared" si="4"/>
        <v>0.6</v>
      </c>
      <c r="N18" s="11">
        <v>10</v>
      </c>
      <c r="O18" s="11">
        <f t="shared" si="5"/>
        <v>1</v>
      </c>
      <c r="P18" s="11">
        <v>97</v>
      </c>
      <c r="Q18" s="11">
        <f t="shared" si="6"/>
        <v>0.97</v>
      </c>
      <c r="R18" s="11">
        <f t="shared" si="7"/>
        <v>0.58199999999999996</v>
      </c>
      <c r="S18" s="12">
        <v>6.24</v>
      </c>
      <c r="T18" s="13">
        <f t="shared" si="8"/>
        <v>6.2400000000000004E-2</v>
      </c>
      <c r="U18" s="12">
        <v>20.98</v>
      </c>
      <c r="V18" s="13">
        <f t="shared" si="9"/>
        <v>0.20980000000000001</v>
      </c>
      <c r="W18" s="12">
        <v>3.49</v>
      </c>
      <c r="X18" s="13">
        <f t="shared" si="10"/>
        <v>3.49E-2</v>
      </c>
      <c r="Y18" s="11">
        <v>17.978510156835785</v>
      </c>
      <c r="Z18" s="11">
        <v>10.96</v>
      </c>
      <c r="AA18" s="11">
        <v>1</v>
      </c>
      <c r="AB18" s="11">
        <v>0</v>
      </c>
    </row>
    <row r="19" spans="3:28" x14ac:dyDescent="0.25">
      <c r="C19" s="11" t="s">
        <v>43</v>
      </c>
      <c r="D19" s="11">
        <v>7</v>
      </c>
      <c r="E19" s="11">
        <f t="shared" si="0"/>
        <v>0.7</v>
      </c>
      <c r="F19" s="11">
        <v>6</v>
      </c>
      <c r="G19" s="11">
        <f t="shared" si="1"/>
        <v>0.6</v>
      </c>
      <c r="H19" s="11">
        <v>7</v>
      </c>
      <c r="I19" s="11">
        <f t="shared" si="2"/>
        <v>0.7</v>
      </c>
      <c r="J19" s="11">
        <v>7</v>
      </c>
      <c r="K19" s="11">
        <f t="shared" si="3"/>
        <v>0.7</v>
      </c>
      <c r="L19" s="11">
        <v>7</v>
      </c>
      <c r="M19" s="11">
        <f t="shared" si="4"/>
        <v>0.7</v>
      </c>
      <c r="N19" s="11">
        <v>10</v>
      </c>
      <c r="O19" s="11">
        <f t="shared" si="5"/>
        <v>1</v>
      </c>
      <c r="P19" s="11">
        <v>44</v>
      </c>
      <c r="Q19" s="11">
        <f t="shared" si="6"/>
        <v>0.44</v>
      </c>
      <c r="R19" s="11">
        <f t="shared" si="7"/>
        <v>0.308</v>
      </c>
      <c r="S19" s="12">
        <v>7.71</v>
      </c>
      <c r="T19" s="13">
        <f t="shared" si="8"/>
        <v>7.7100000000000002E-2</v>
      </c>
      <c r="U19" s="12">
        <v>19.66</v>
      </c>
      <c r="V19" s="13">
        <f t="shared" si="9"/>
        <v>0.1966</v>
      </c>
      <c r="W19" s="12">
        <v>5.15</v>
      </c>
      <c r="X19" s="13">
        <f t="shared" si="10"/>
        <v>5.1500000000000004E-2</v>
      </c>
      <c r="Y19" s="11">
        <v>16.2032085603315</v>
      </c>
      <c r="Z19" s="11">
        <v>3</v>
      </c>
      <c r="AA19" s="11">
        <v>0</v>
      </c>
      <c r="AB19" s="11">
        <v>1</v>
      </c>
    </row>
    <row r="20" spans="3:28" x14ac:dyDescent="0.25">
      <c r="C20" s="11" t="s">
        <v>10</v>
      </c>
      <c r="D20" s="11">
        <v>5</v>
      </c>
      <c r="E20" s="11">
        <f t="shared" si="0"/>
        <v>0.5</v>
      </c>
      <c r="F20" s="11">
        <v>7</v>
      </c>
      <c r="G20" s="11">
        <f t="shared" si="1"/>
        <v>0.7</v>
      </c>
      <c r="H20" s="11">
        <v>6</v>
      </c>
      <c r="I20" s="11">
        <f t="shared" si="2"/>
        <v>0.6</v>
      </c>
      <c r="J20" s="11">
        <v>3</v>
      </c>
      <c r="K20" s="11">
        <f t="shared" si="3"/>
        <v>0.3</v>
      </c>
      <c r="L20" s="11">
        <v>4</v>
      </c>
      <c r="M20" s="11">
        <f t="shared" si="4"/>
        <v>0.4</v>
      </c>
      <c r="N20" s="11">
        <v>3</v>
      </c>
      <c r="O20" s="11">
        <f t="shared" si="5"/>
        <v>0.3</v>
      </c>
      <c r="P20" s="11">
        <v>64</v>
      </c>
      <c r="Q20" s="11">
        <f t="shared" si="6"/>
        <v>0.64</v>
      </c>
      <c r="R20" s="11">
        <f t="shared" si="7"/>
        <v>0.32</v>
      </c>
      <c r="S20" s="12">
        <v>28.47</v>
      </c>
      <c r="T20" s="13">
        <f t="shared" si="8"/>
        <v>0.28470000000000001</v>
      </c>
      <c r="U20" s="12">
        <v>43.23</v>
      </c>
      <c r="V20" s="13">
        <f t="shared" si="9"/>
        <v>0.43229999999999996</v>
      </c>
      <c r="W20" s="12">
        <v>17.89</v>
      </c>
      <c r="X20" s="13">
        <f t="shared" si="10"/>
        <v>0.1789</v>
      </c>
      <c r="Y20" s="11">
        <v>16.954650294812993</v>
      </c>
      <c r="Z20" s="11">
        <v>-9.4700000000000006</v>
      </c>
      <c r="AA20" s="11">
        <v>1</v>
      </c>
      <c r="AB20" s="11">
        <v>1</v>
      </c>
    </row>
    <row r="21" spans="3:28" x14ac:dyDescent="0.25">
      <c r="C21" s="11" t="s">
        <v>29</v>
      </c>
      <c r="D21" s="11">
        <v>7</v>
      </c>
      <c r="E21" s="11">
        <f t="shared" si="0"/>
        <v>0.7</v>
      </c>
      <c r="F21" s="11">
        <v>9</v>
      </c>
      <c r="G21" s="11">
        <f t="shared" si="1"/>
        <v>0.9</v>
      </c>
      <c r="H21" s="11">
        <v>9</v>
      </c>
      <c r="I21" s="11">
        <f t="shared" si="2"/>
        <v>0.9</v>
      </c>
      <c r="J21" s="11">
        <v>5</v>
      </c>
      <c r="K21" s="11">
        <f t="shared" si="3"/>
        <v>0.5</v>
      </c>
      <c r="L21" s="11">
        <v>5</v>
      </c>
      <c r="M21" s="11">
        <f t="shared" si="4"/>
        <v>0.5</v>
      </c>
      <c r="N21" s="11">
        <v>3</v>
      </c>
      <c r="O21" s="11">
        <f t="shared" si="5"/>
        <v>0.3</v>
      </c>
      <c r="P21" s="11">
        <v>92</v>
      </c>
      <c r="Q21" s="11">
        <f t="shared" si="6"/>
        <v>0.92</v>
      </c>
      <c r="R21" s="11">
        <f t="shared" si="7"/>
        <v>0.64400000000000002</v>
      </c>
      <c r="S21" s="12">
        <v>7.73</v>
      </c>
      <c r="T21" s="13">
        <f t="shared" si="8"/>
        <v>7.7300000000000008E-2</v>
      </c>
      <c r="U21" s="12">
        <v>20.47</v>
      </c>
      <c r="V21" s="13">
        <f t="shared" si="9"/>
        <v>0.20469999999999999</v>
      </c>
      <c r="W21" s="12">
        <v>3.77</v>
      </c>
      <c r="X21" s="13">
        <f t="shared" si="10"/>
        <v>3.7699999999999997E-2</v>
      </c>
      <c r="Y21" s="11">
        <v>17.584724984730485</v>
      </c>
      <c r="Z21" s="11">
        <v>15.92</v>
      </c>
      <c r="AA21" s="11">
        <v>1</v>
      </c>
      <c r="AB21" s="11">
        <v>1</v>
      </c>
    </row>
    <row r="22" spans="3:28" x14ac:dyDescent="0.25">
      <c r="C22" s="11" t="s">
        <v>28</v>
      </c>
      <c r="D22" s="11">
        <v>8</v>
      </c>
      <c r="E22" s="11">
        <f t="shared" si="0"/>
        <v>0.8</v>
      </c>
      <c r="F22" s="11">
        <v>9</v>
      </c>
      <c r="G22" s="11">
        <f t="shared" si="1"/>
        <v>0.9</v>
      </c>
      <c r="H22" s="11">
        <v>8</v>
      </c>
      <c r="I22" s="11">
        <f t="shared" si="2"/>
        <v>0.8</v>
      </c>
      <c r="J22" s="11">
        <v>8</v>
      </c>
      <c r="K22" s="11">
        <f t="shared" si="3"/>
        <v>0.8</v>
      </c>
      <c r="L22" s="11">
        <v>8</v>
      </c>
      <c r="M22" s="11">
        <f t="shared" si="4"/>
        <v>0.8</v>
      </c>
      <c r="N22" s="11">
        <v>8</v>
      </c>
      <c r="O22" s="11">
        <f t="shared" si="5"/>
        <v>0.8</v>
      </c>
      <c r="P22" s="11">
        <v>90</v>
      </c>
      <c r="Q22" s="11">
        <f t="shared" si="6"/>
        <v>0.9</v>
      </c>
      <c r="R22" s="11">
        <f t="shared" si="7"/>
        <v>0.72000000000000008</v>
      </c>
      <c r="S22" s="12">
        <v>16.37</v>
      </c>
      <c r="T22" s="13">
        <f t="shared" si="8"/>
        <v>0.16370000000000001</v>
      </c>
      <c r="U22" s="12">
        <v>21.86</v>
      </c>
      <c r="V22" s="13">
        <f t="shared" si="9"/>
        <v>0.21859999999999999</v>
      </c>
      <c r="W22" s="12">
        <v>6.62</v>
      </c>
      <c r="X22" s="13">
        <f t="shared" si="10"/>
        <v>6.6199999999999995E-2</v>
      </c>
      <c r="Y22" s="11">
        <v>16.592775828087959</v>
      </c>
      <c r="Z22" s="11">
        <v>3.01</v>
      </c>
      <c r="AA22" s="11">
        <v>1</v>
      </c>
      <c r="AB22" s="11">
        <v>0</v>
      </c>
    </row>
    <row r="23" spans="3:28" x14ac:dyDescent="0.25">
      <c r="C23" s="11" t="s">
        <v>11</v>
      </c>
      <c r="D23" s="11">
        <v>8</v>
      </c>
      <c r="E23" s="11">
        <f t="shared" si="0"/>
        <v>0.8</v>
      </c>
      <c r="F23" s="11">
        <v>7</v>
      </c>
      <c r="G23" s="11">
        <f t="shared" si="1"/>
        <v>0.7</v>
      </c>
      <c r="H23" s="11">
        <v>9</v>
      </c>
      <c r="I23" s="11">
        <f t="shared" si="2"/>
        <v>0.9</v>
      </c>
      <c r="J23" s="11">
        <v>8</v>
      </c>
      <c r="K23" s="11">
        <f t="shared" si="3"/>
        <v>0.8</v>
      </c>
      <c r="L23" s="11">
        <v>6</v>
      </c>
      <c r="M23" s="11">
        <f t="shared" si="4"/>
        <v>0.6</v>
      </c>
      <c r="N23" s="11">
        <v>3</v>
      </c>
      <c r="O23" s="11">
        <f t="shared" si="5"/>
        <v>0.3</v>
      </c>
      <c r="P23" s="11">
        <v>98</v>
      </c>
      <c r="Q23" s="11">
        <f t="shared" si="6"/>
        <v>0.98</v>
      </c>
      <c r="R23" s="11">
        <f t="shared" si="7"/>
        <v>0.78400000000000003</v>
      </c>
      <c r="S23" s="12">
        <v>20.63</v>
      </c>
      <c r="T23" s="13">
        <f t="shared" si="8"/>
        <v>0.20629999999999998</v>
      </c>
      <c r="U23" s="12">
        <v>22.17</v>
      </c>
      <c r="V23" s="13">
        <f t="shared" si="9"/>
        <v>0.22170000000000001</v>
      </c>
      <c r="W23" s="12">
        <v>10.02</v>
      </c>
      <c r="X23" s="13">
        <f t="shared" si="10"/>
        <v>0.1002</v>
      </c>
      <c r="Y23" s="11">
        <v>17.847153133808195</v>
      </c>
      <c r="Z23" s="11">
        <v>4.4400000000000004</v>
      </c>
      <c r="AA23" s="11">
        <v>1</v>
      </c>
      <c r="AB23" s="11">
        <v>0</v>
      </c>
    </row>
    <row r="24" spans="3:28" x14ac:dyDescent="0.25">
      <c r="C24" s="11" t="s">
        <v>5</v>
      </c>
      <c r="D24" s="11">
        <v>8</v>
      </c>
      <c r="E24" s="11">
        <f t="shared" si="0"/>
        <v>0.8</v>
      </c>
      <c r="F24" s="11">
        <v>9</v>
      </c>
      <c r="G24" s="11">
        <f t="shared" si="1"/>
        <v>0.9</v>
      </c>
      <c r="H24" s="11">
        <v>9</v>
      </c>
      <c r="I24" s="11">
        <f t="shared" si="2"/>
        <v>0.9</v>
      </c>
      <c r="J24" s="11">
        <v>5</v>
      </c>
      <c r="K24" s="11">
        <f t="shared" si="3"/>
        <v>0.5</v>
      </c>
      <c r="L24" s="11">
        <v>4</v>
      </c>
      <c r="M24" s="11">
        <f t="shared" si="4"/>
        <v>0.4</v>
      </c>
      <c r="N24" s="11">
        <v>1</v>
      </c>
      <c r="O24" s="11">
        <f t="shared" si="5"/>
        <v>0.1</v>
      </c>
      <c r="P24" s="11">
        <v>95</v>
      </c>
      <c r="Q24" s="11">
        <f t="shared" si="6"/>
        <v>0.95</v>
      </c>
      <c r="R24" s="11">
        <f t="shared" si="7"/>
        <v>0.76</v>
      </c>
      <c r="S24" s="12">
        <v>19.64</v>
      </c>
      <c r="T24" s="13">
        <f t="shared" si="8"/>
        <v>0.19640000000000002</v>
      </c>
      <c r="U24" s="12">
        <v>26.49</v>
      </c>
      <c r="V24" s="13">
        <f t="shared" si="9"/>
        <v>0.26489999999999997</v>
      </c>
      <c r="W24" s="12">
        <v>8.36</v>
      </c>
      <c r="X24" s="13">
        <f t="shared" si="10"/>
        <v>8.3599999999999994E-2</v>
      </c>
      <c r="Y24" s="11">
        <v>18.820731219359033</v>
      </c>
      <c r="Z24" s="11">
        <v>31.57</v>
      </c>
      <c r="AA24" s="11">
        <v>1</v>
      </c>
      <c r="AB24" s="11">
        <v>1</v>
      </c>
    </row>
    <row r="25" spans="3:28" x14ac:dyDescent="0.25">
      <c r="C25" s="11" t="s">
        <v>38</v>
      </c>
      <c r="D25" s="11">
        <v>8</v>
      </c>
      <c r="E25" s="11">
        <f t="shared" si="0"/>
        <v>0.8</v>
      </c>
      <c r="F25" s="11">
        <v>7</v>
      </c>
      <c r="G25" s="11">
        <f t="shared" si="1"/>
        <v>0.7</v>
      </c>
      <c r="H25" s="11">
        <v>9</v>
      </c>
      <c r="I25" s="11">
        <f t="shared" si="2"/>
        <v>0.9</v>
      </c>
      <c r="J25" s="11">
        <v>8</v>
      </c>
      <c r="K25" s="11">
        <f t="shared" si="3"/>
        <v>0.8</v>
      </c>
      <c r="L25" s="11">
        <v>6</v>
      </c>
      <c r="M25" s="11">
        <f t="shared" si="4"/>
        <v>0.6</v>
      </c>
      <c r="N25" s="11">
        <v>5</v>
      </c>
      <c r="O25" s="11">
        <f t="shared" si="5"/>
        <v>0.5</v>
      </c>
      <c r="P25" s="11">
        <v>91</v>
      </c>
      <c r="Q25" s="11">
        <f t="shared" si="6"/>
        <v>0.91</v>
      </c>
      <c r="R25" s="11">
        <f t="shared" si="7"/>
        <v>0.72800000000000009</v>
      </c>
      <c r="S25" s="12">
        <v>10.33</v>
      </c>
      <c r="T25" s="13">
        <f t="shared" si="8"/>
        <v>0.1033</v>
      </c>
      <c r="U25" s="12">
        <v>18.14</v>
      </c>
      <c r="V25" s="13">
        <f t="shared" si="9"/>
        <v>0.18140000000000001</v>
      </c>
      <c r="W25" s="12">
        <v>5.34</v>
      </c>
      <c r="X25" s="13">
        <f t="shared" si="10"/>
        <v>5.3399999999999996E-2</v>
      </c>
      <c r="Y25" s="11">
        <v>17.435897015632911</v>
      </c>
      <c r="Z25" s="11">
        <v>3.63</v>
      </c>
      <c r="AA25" s="11">
        <v>1</v>
      </c>
      <c r="AB25" s="11">
        <v>0</v>
      </c>
    </row>
    <row r="26" spans="3:28" x14ac:dyDescent="0.25">
      <c r="C26" s="11" t="s">
        <v>30</v>
      </c>
      <c r="D26" s="11">
        <v>7</v>
      </c>
      <c r="E26" s="11">
        <f t="shared" si="0"/>
        <v>0.7</v>
      </c>
      <c r="F26" s="11">
        <v>7</v>
      </c>
      <c r="G26" s="11">
        <f t="shared" si="1"/>
        <v>0.7</v>
      </c>
      <c r="H26" s="11">
        <v>8</v>
      </c>
      <c r="I26" s="11">
        <f t="shared" si="2"/>
        <v>0.8</v>
      </c>
      <c r="J26" s="11">
        <v>4</v>
      </c>
      <c r="K26" s="11">
        <f t="shared" si="3"/>
        <v>0.4</v>
      </c>
      <c r="L26" s="11">
        <v>5</v>
      </c>
      <c r="M26" s="11">
        <f t="shared" si="4"/>
        <v>0.5</v>
      </c>
      <c r="N26" s="11">
        <v>4</v>
      </c>
      <c r="O26" s="11">
        <f t="shared" si="5"/>
        <v>0.4</v>
      </c>
      <c r="P26" s="11">
        <v>90</v>
      </c>
      <c r="Q26" s="11">
        <f t="shared" si="6"/>
        <v>0.9</v>
      </c>
      <c r="R26" s="11">
        <f t="shared" si="7"/>
        <v>0.63</v>
      </c>
      <c r="S26" s="12">
        <v>7.67</v>
      </c>
      <c r="T26" s="13">
        <f t="shared" si="8"/>
        <v>7.6700000000000004E-2</v>
      </c>
      <c r="U26" s="12">
        <v>32.18</v>
      </c>
      <c r="V26" s="13">
        <f t="shared" si="9"/>
        <v>0.32179999999999997</v>
      </c>
      <c r="W26" s="12">
        <v>3.67</v>
      </c>
      <c r="X26" s="13">
        <f t="shared" si="10"/>
        <v>3.6699999999999997E-2</v>
      </c>
      <c r="Y26" s="11">
        <v>18.458689184138073</v>
      </c>
      <c r="Z26" s="11">
        <v>-1.4</v>
      </c>
      <c r="AA26" s="11">
        <v>0</v>
      </c>
      <c r="AB26" s="11">
        <v>1</v>
      </c>
    </row>
    <row r="27" spans="3:28" x14ac:dyDescent="0.25">
      <c r="C27" s="11" t="s">
        <v>37</v>
      </c>
      <c r="D27" s="11">
        <v>6</v>
      </c>
      <c r="E27" s="11">
        <f t="shared" si="0"/>
        <v>0.6</v>
      </c>
      <c r="F27" s="11">
        <v>6</v>
      </c>
      <c r="G27" s="11">
        <f t="shared" si="1"/>
        <v>0.6</v>
      </c>
      <c r="H27" s="11">
        <v>5</v>
      </c>
      <c r="I27" s="11">
        <f t="shared" si="2"/>
        <v>0.5</v>
      </c>
      <c r="J27" s="11">
        <v>7</v>
      </c>
      <c r="K27" s="11">
        <f t="shared" si="3"/>
        <v>0.7</v>
      </c>
      <c r="L27" s="11">
        <v>4</v>
      </c>
      <c r="M27" s="11">
        <f t="shared" si="4"/>
        <v>0.4</v>
      </c>
      <c r="N27" s="11">
        <v>2</v>
      </c>
      <c r="O27" s="11">
        <f t="shared" si="5"/>
        <v>0.2</v>
      </c>
      <c r="P27" s="11">
        <v>83</v>
      </c>
      <c r="Q27" s="11">
        <f t="shared" si="6"/>
        <v>0.83</v>
      </c>
      <c r="R27" s="11">
        <f t="shared" si="7"/>
        <v>0.49799999999999994</v>
      </c>
      <c r="S27" s="11">
        <v>10.5</v>
      </c>
      <c r="T27" s="13">
        <f t="shared" si="8"/>
        <v>0.105</v>
      </c>
      <c r="U27" s="11">
        <v>30.39</v>
      </c>
      <c r="V27" s="13">
        <f t="shared" si="9"/>
        <v>0.3039</v>
      </c>
      <c r="W27" s="11">
        <v>4.4000000000000004</v>
      </c>
      <c r="X27" s="13">
        <f t="shared" si="10"/>
        <v>4.4000000000000004E-2</v>
      </c>
      <c r="Y27" s="11">
        <v>17.428588298661928</v>
      </c>
      <c r="Z27" s="11">
        <v>10.76</v>
      </c>
      <c r="AA27" s="11">
        <v>1</v>
      </c>
      <c r="AB27" s="11">
        <v>0</v>
      </c>
    </row>
    <row r="28" spans="3:28" x14ac:dyDescent="0.25">
      <c r="C28" s="11" t="s">
        <v>35</v>
      </c>
      <c r="D28" s="11">
        <v>7</v>
      </c>
      <c r="E28" s="11">
        <f t="shared" si="0"/>
        <v>0.7</v>
      </c>
      <c r="F28" s="11">
        <v>7</v>
      </c>
      <c r="G28" s="11">
        <f t="shared" si="1"/>
        <v>0.7</v>
      </c>
      <c r="H28" s="11">
        <v>8</v>
      </c>
      <c r="I28" s="11">
        <f t="shared" si="2"/>
        <v>0.8</v>
      </c>
      <c r="J28" s="11">
        <v>6</v>
      </c>
      <c r="K28" s="11">
        <f t="shared" si="3"/>
        <v>0.6</v>
      </c>
      <c r="L28" s="11">
        <v>6</v>
      </c>
      <c r="M28" s="11">
        <f t="shared" si="4"/>
        <v>0.6</v>
      </c>
      <c r="N28" s="11">
        <v>5</v>
      </c>
      <c r="O28" s="11">
        <f t="shared" si="5"/>
        <v>0.5</v>
      </c>
      <c r="P28" s="11">
        <v>59</v>
      </c>
      <c r="Q28" s="11">
        <f t="shared" si="6"/>
        <v>0.59</v>
      </c>
      <c r="R28" s="11">
        <f t="shared" si="7"/>
        <v>0.41299999999999998</v>
      </c>
      <c r="S28" s="11">
        <v>17.510000000000002</v>
      </c>
      <c r="T28" s="13">
        <f t="shared" si="8"/>
        <v>0.17510000000000001</v>
      </c>
      <c r="U28" s="11">
        <v>19.399999999999999</v>
      </c>
      <c r="V28" s="13">
        <f t="shared" si="9"/>
        <v>0.19399999999999998</v>
      </c>
      <c r="W28" s="11">
        <v>4.78</v>
      </c>
      <c r="X28" s="13">
        <f t="shared" si="10"/>
        <v>4.7800000000000002E-2</v>
      </c>
      <c r="Y28" s="11">
        <v>17.500733334574665</v>
      </c>
      <c r="Z28" s="11">
        <v>1.53</v>
      </c>
      <c r="AA28" s="11">
        <v>0</v>
      </c>
      <c r="AB28" s="11">
        <v>1</v>
      </c>
    </row>
    <row r="29" spans="3:28" x14ac:dyDescent="0.25">
      <c r="C29" s="11" t="s">
        <v>44</v>
      </c>
      <c r="D29" s="11">
        <v>8</v>
      </c>
      <c r="E29" s="11">
        <f t="shared" si="0"/>
        <v>0.8</v>
      </c>
      <c r="F29" s="11">
        <v>9</v>
      </c>
      <c r="G29" s="11">
        <f t="shared" si="1"/>
        <v>0.9</v>
      </c>
      <c r="H29" s="11">
        <v>7</v>
      </c>
      <c r="I29" s="11">
        <f t="shared" si="2"/>
        <v>0.7</v>
      </c>
      <c r="J29" s="11">
        <v>6</v>
      </c>
      <c r="K29" s="11">
        <f t="shared" si="3"/>
        <v>0.6</v>
      </c>
      <c r="L29" s="11">
        <v>5</v>
      </c>
      <c r="M29" s="11">
        <f t="shared" si="4"/>
        <v>0.5</v>
      </c>
      <c r="N29" s="11">
        <v>2</v>
      </c>
      <c r="O29" s="11">
        <f t="shared" si="5"/>
        <v>0.2</v>
      </c>
      <c r="P29" s="11">
        <v>50</v>
      </c>
      <c r="Q29" s="11">
        <f t="shared" si="6"/>
        <v>0.5</v>
      </c>
      <c r="R29" s="11">
        <f t="shared" si="7"/>
        <v>0.4</v>
      </c>
      <c r="S29" s="11">
        <v>-46.54</v>
      </c>
      <c r="T29" s="13">
        <f t="shared" si="8"/>
        <v>-0.46539999999999998</v>
      </c>
      <c r="U29" s="11">
        <v>12.16</v>
      </c>
      <c r="V29" s="13">
        <f t="shared" si="9"/>
        <v>0.1216</v>
      </c>
      <c r="W29" s="11">
        <v>-9.5</v>
      </c>
      <c r="X29" s="13">
        <f t="shared" si="10"/>
        <v>-9.5000000000000001E-2</v>
      </c>
      <c r="Y29" s="11">
        <v>18.678156154346745</v>
      </c>
      <c r="Z29" s="11">
        <v>48.71</v>
      </c>
      <c r="AA29" s="11">
        <v>1</v>
      </c>
      <c r="AB29" s="11">
        <v>0</v>
      </c>
    </row>
    <row r="30" spans="3:28" x14ac:dyDescent="0.25">
      <c r="C30" s="11" t="s">
        <v>15</v>
      </c>
      <c r="D30" s="11">
        <v>7</v>
      </c>
      <c r="E30" s="11">
        <f t="shared" si="0"/>
        <v>0.7</v>
      </c>
      <c r="F30" s="11">
        <v>6</v>
      </c>
      <c r="G30" s="11">
        <f t="shared" si="1"/>
        <v>0.6</v>
      </c>
      <c r="H30" s="11">
        <v>7</v>
      </c>
      <c r="I30" s="11">
        <f t="shared" si="2"/>
        <v>0.7</v>
      </c>
      <c r="J30" s="11">
        <v>7</v>
      </c>
      <c r="K30" s="11">
        <f t="shared" si="3"/>
        <v>0.7</v>
      </c>
      <c r="L30" s="11">
        <v>6</v>
      </c>
      <c r="M30" s="11">
        <f t="shared" si="4"/>
        <v>0.6</v>
      </c>
      <c r="N30" s="11">
        <v>5</v>
      </c>
      <c r="O30" s="11">
        <f t="shared" si="5"/>
        <v>0.5</v>
      </c>
      <c r="P30" s="11">
        <v>47</v>
      </c>
      <c r="Q30" s="11">
        <f t="shared" si="6"/>
        <v>0.47</v>
      </c>
      <c r="R30" s="11">
        <f t="shared" si="7"/>
        <v>0.32899999999999996</v>
      </c>
      <c r="S30" s="11">
        <v>35.36</v>
      </c>
      <c r="T30" s="13">
        <f t="shared" si="8"/>
        <v>0.35359999999999997</v>
      </c>
      <c r="U30" s="11">
        <v>20.83</v>
      </c>
      <c r="V30" s="13">
        <f t="shared" si="9"/>
        <v>0.20829999999999999</v>
      </c>
      <c r="W30" s="11">
        <v>8.1199999999999992</v>
      </c>
      <c r="X30" s="13">
        <f t="shared" si="10"/>
        <v>8.1199999999999994E-2</v>
      </c>
      <c r="Y30" s="11">
        <v>17.823061901216736</v>
      </c>
      <c r="Z30" s="11">
        <v>-1.46</v>
      </c>
      <c r="AA30" s="11">
        <v>1</v>
      </c>
      <c r="AB30" s="11">
        <v>0</v>
      </c>
    </row>
    <row r="31" spans="3:28" x14ac:dyDescent="0.25">
      <c r="C31" s="11" t="s">
        <v>17</v>
      </c>
      <c r="D31" s="11">
        <v>8</v>
      </c>
      <c r="E31" s="11">
        <f t="shared" si="0"/>
        <v>0.8</v>
      </c>
      <c r="F31" s="11">
        <v>8</v>
      </c>
      <c r="G31" s="11">
        <f t="shared" si="1"/>
        <v>0.8</v>
      </c>
      <c r="H31" s="11">
        <v>9</v>
      </c>
      <c r="I31" s="11">
        <f t="shared" si="2"/>
        <v>0.9</v>
      </c>
      <c r="J31" s="11">
        <v>7</v>
      </c>
      <c r="K31" s="11">
        <f t="shared" si="3"/>
        <v>0.7</v>
      </c>
      <c r="L31" s="11">
        <v>5</v>
      </c>
      <c r="M31" s="11">
        <f t="shared" si="4"/>
        <v>0.5</v>
      </c>
      <c r="N31" s="11">
        <v>1</v>
      </c>
      <c r="O31" s="11">
        <f t="shared" si="5"/>
        <v>0.1</v>
      </c>
      <c r="P31" s="11">
        <v>100</v>
      </c>
      <c r="Q31" s="11">
        <f t="shared" si="6"/>
        <v>1</v>
      </c>
      <c r="R31" s="11">
        <f t="shared" si="7"/>
        <v>0.8</v>
      </c>
      <c r="S31" s="11">
        <v>7.25</v>
      </c>
      <c r="T31" s="13">
        <f t="shared" si="8"/>
        <v>7.2499999999999995E-2</v>
      </c>
      <c r="U31" s="11">
        <v>31.31</v>
      </c>
      <c r="V31" s="13">
        <f t="shared" si="9"/>
        <v>0.31309999999999999</v>
      </c>
      <c r="W31" s="11">
        <v>4.24</v>
      </c>
      <c r="X31" s="13">
        <f t="shared" si="10"/>
        <v>4.24E-2</v>
      </c>
      <c r="Y31" s="11">
        <v>18.704339734652237</v>
      </c>
      <c r="Z31" s="11">
        <v>10.46</v>
      </c>
      <c r="AA31" s="11">
        <v>1</v>
      </c>
      <c r="AB31" s="11">
        <v>0</v>
      </c>
    </row>
    <row r="32" spans="3:28" x14ac:dyDescent="0.25">
      <c r="C32" s="11" t="s">
        <v>14</v>
      </c>
      <c r="D32" s="11">
        <v>8</v>
      </c>
      <c r="E32" s="11">
        <f t="shared" si="0"/>
        <v>0.8</v>
      </c>
      <c r="F32" s="11">
        <v>8</v>
      </c>
      <c r="G32" s="11">
        <f t="shared" si="1"/>
        <v>0.8</v>
      </c>
      <c r="H32" s="11">
        <v>9</v>
      </c>
      <c r="I32" s="11">
        <f t="shared" si="2"/>
        <v>0.9</v>
      </c>
      <c r="J32" s="11">
        <v>8</v>
      </c>
      <c r="K32" s="11">
        <f t="shared" si="3"/>
        <v>0.8</v>
      </c>
      <c r="L32" s="11">
        <v>8</v>
      </c>
      <c r="M32" s="11">
        <f t="shared" si="4"/>
        <v>0.8</v>
      </c>
      <c r="N32" s="11">
        <v>7</v>
      </c>
      <c r="O32" s="11">
        <f t="shared" si="5"/>
        <v>0.7</v>
      </c>
      <c r="P32" s="11">
        <v>85</v>
      </c>
      <c r="Q32" s="11">
        <f t="shared" si="6"/>
        <v>0.85</v>
      </c>
      <c r="R32" s="11">
        <f t="shared" si="7"/>
        <v>0.68</v>
      </c>
      <c r="S32" s="11">
        <v>15.76</v>
      </c>
      <c r="T32" s="13">
        <f t="shared" si="8"/>
        <v>0.15759999999999999</v>
      </c>
      <c r="U32" s="11">
        <v>21.27</v>
      </c>
      <c r="V32" s="13">
        <f t="shared" si="9"/>
        <v>0.2127</v>
      </c>
      <c r="W32" s="11">
        <v>7.26</v>
      </c>
      <c r="X32" s="13">
        <f t="shared" si="10"/>
        <v>7.2599999999999998E-2</v>
      </c>
      <c r="Y32" s="11">
        <v>18.00430129047832</v>
      </c>
      <c r="Z32" s="11">
        <v>7.94</v>
      </c>
      <c r="AA32" s="11">
        <v>1</v>
      </c>
      <c r="AB32" s="11">
        <v>0</v>
      </c>
    </row>
    <row r="33" spans="3:28" x14ac:dyDescent="0.25">
      <c r="C33" s="11" t="s">
        <v>26</v>
      </c>
      <c r="D33" s="11">
        <v>8</v>
      </c>
      <c r="E33" s="11">
        <f t="shared" si="0"/>
        <v>0.8</v>
      </c>
      <c r="F33" s="11">
        <v>9</v>
      </c>
      <c r="G33" s="11">
        <f t="shared" si="1"/>
        <v>0.9</v>
      </c>
      <c r="H33" s="11">
        <v>7</v>
      </c>
      <c r="I33" s="11">
        <f t="shared" si="2"/>
        <v>0.7</v>
      </c>
      <c r="J33" s="11">
        <v>8</v>
      </c>
      <c r="K33" s="11">
        <f t="shared" si="3"/>
        <v>0.8</v>
      </c>
      <c r="L33" s="11">
        <v>6</v>
      </c>
      <c r="M33" s="11">
        <f t="shared" si="4"/>
        <v>0.6</v>
      </c>
      <c r="N33" s="11">
        <v>5</v>
      </c>
      <c r="O33" s="11">
        <f t="shared" si="5"/>
        <v>0.5</v>
      </c>
      <c r="P33" s="11">
        <v>70</v>
      </c>
      <c r="Q33" s="11">
        <f t="shared" si="6"/>
        <v>0.7</v>
      </c>
      <c r="R33" s="11">
        <f t="shared" si="7"/>
        <v>0.55999999999999994</v>
      </c>
      <c r="S33" s="11">
        <v>7.13</v>
      </c>
      <c r="T33" s="13">
        <f t="shared" si="8"/>
        <v>7.1300000000000002E-2</v>
      </c>
      <c r="U33" s="15">
        <v>63</v>
      </c>
      <c r="V33" s="13">
        <f t="shared" si="9"/>
        <v>0.63</v>
      </c>
      <c r="W33" s="11">
        <v>0.42</v>
      </c>
      <c r="X33" s="13">
        <f t="shared" si="10"/>
        <v>4.1999999999999997E-3</v>
      </c>
      <c r="Y33" s="11">
        <v>21.176596872725199</v>
      </c>
      <c r="Z33" s="11">
        <v>-90.03</v>
      </c>
      <c r="AA33" s="11">
        <v>0</v>
      </c>
      <c r="AB33" s="11">
        <v>1</v>
      </c>
    </row>
    <row r="34" spans="3:28" x14ac:dyDescent="0.25">
      <c r="C34" s="11" t="s">
        <v>32</v>
      </c>
      <c r="D34" s="11">
        <v>8</v>
      </c>
      <c r="E34" s="11">
        <f t="shared" si="0"/>
        <v>0.8</v>
      </c>
      <c r="F34" s="11">
        <v>9</v>
      </c>
      <c r="G34" s="11">
        <f t="shared" si="1"/>
        <v>0.9</v>
      </c>
      <c r="H34" s="11">
        <v>8</v>
      </c>
      <c r="I34" s="11">
        <f t="shared" si="2"/>
        <v>0.8</v>
      </c>
      <c r="J34" s="11">
        <v>6</v>
      </c>
      <c r="K34" s="11">
        <f t="shared" si="3"/>
        <v>0.6</v>
      </c>
      <c r="L34" s="11">
        <v>4</v>
      </c>
      <c r="M34" s="11">
        <f t="shared" si="4"/>
        <v>0.4</v>
      </c>
      <c r="N34" s="11">
        <v>0</v>
      </c>
      <c r="O34" s="11">
        <f t="shared" si="5"/>
        <v>0</v>
      </c>
      <c r="P34" s="11">
        <v>50</v>
      </c>
      <c r="Q34" s="11">
        <f t="shared" si="6"/>
        <v>0.5</v>
      </c>
      <c r="R34" s="11">
        <f t="shared" si="7"/>
        <v>0.4</v>
      </c>
      <c r="S34" s="11">
        <v>-3.09</v>
      </c>
      <c r="T34" s="13">
        <f t="shared" si="8"/>
        <v>-3.0899999999999997E-2</v>
      </c>
      <c r="U34" s="11">
        <v>5.54</v>
      </c>
      <c r="V34" s="13">
        <f t="shared" si="9"/>
        <v>5.5399999999999998E-2</v>
      </c>
      <c r="W34" s="11">
        <v>-1.17</v>
      </c>
      <c r="X34" s="13">
        <f t="shared" si="10"/>
        <v>-1.1699999999999999E-2</v>
      </c>
      <c r="Y34" s="11">
        <v>19.151157427377335</v>
      </c>
      <c r="Z34" s="11">
        <v>3.13</v>
      </c>
      <c r="AA34" s="11">
        <v>1</v>
      </c>
      <c r="AB34" s="11">
        <v>0</v>
      </c>
    </row>
    <row r="35" spans="3:28" x14ac:dyDescent="0.25">
      <c r="C35" s="11" t="s">
        <v>39</v>
      </c>
      <c r="D35" s="11">
        <v>9</v>
      </c>
      <c r="E35" s="11">
        <f t="shared" si="0"/>
        <v>0.9</v>
      </c>
      <c r="F35" s="11">
        <v>9</v>
      </c>
      <c r="G35" s="11">
        <f t="shared" si="1"/>
        <v>0.9</v>
      </c>
      <c r="H35" s="11">
        <v>9</v>
      </c>
      <c r="I35" s="11">
        <f t="shared" si="2"/>
        <v>0.9</v>
      </c>
      <c r="J35" s="11">
        <v>8</v>
      </c>
      <c r="K35" s="11">
        <f t="shared" si="3"/>
        <v>0.8</v>
      </c>
      <c r="L35" s="11">
        <v>7</v>
      </c>
      <c r="M35" s="11">
        <f t="shared" si="4"/>
        <v>0.7</v>
      </c>
      <c r="N35" s="11">
        <v>6</v>
      </c>
      <c r="O35" s="11">
        <f t="shared" si="5"/>
        <v>0.6</v>
      </c>
      <c r="P35" s="11">
        <v>78</v>
      </c>
      <c r="Q35" s="11">
        <f t="shared" si="6"/>
        <v>0.78</v>
      </c>
      <c r="R35" s="11">
        <f t="shared" si="7"/>
        <v>0.70200000000000007</v>
      </c>
      <c r="S35" s="11">
        <v>4.96</v>
      </c>
      <c r="T35" s="13">
        <f t="shared" si="8"/>
        <v>4.9599999999999998E-2</v>
      </c>
      <c r="U35" s="11">
        <v>24.97</v>
      </c>
      <c r="V35" s="13">
        <f t="shared" si="9"/>
        <v>0.24969999999999998</v>
      </c>
      <c r="W35" s="11">
        <v>3.5</v>
      </c>
      <c r="X35" s="13">
        <f t="shared" si="10"/>
        <v>3.5000000000000003E-2</v>
      </c>
      <c r="Y35" s="11">
        <v>17.024053178692682</v>
      </c>
      <c r="Z35" s="11">
        <v>3.1</v>
      </c>
      <c r="AA35" s="11">
        <v>1</v>
      </c>
      <c r="AB35" s="11">
        <v>0</v>
      </c>
    </row>
    <row r="36" spans="3:28" x14ac:dyDescent="0.25">
      <c r="C36" s="11" t="s">
        <v>47</v>
      </c>
      <c r="D36" s="11">
        <v>7</v>
      </c>
      <c r="E36" s="11">
        <f t="shared" si="0"/>
        <v>0.7</v>
      </c>
      <c r="F36" s="11">
        <v>6</v>
      </c>
      <c r="G36" s="11">
        <f t="shared" si="1"/>
        <v>0.6</v>
      </c>
      <c r="H36" s="11">
        <v>8</v>
      </c>
      <c r="I36" s="11">
        <f t="shared" si="2"/>
        <v>0.8</v>
      </c>
      <c r="J36" s="11">
        <v>6</v>
      </c>
      <c r="K36" s="11">
        <f t="shared" si="3"/>
        <v>0.6</v>
      </c>
      <c r="L36" s="11">
        <v>6</v>
      </c>
      <c r="M36" s="11">
        <f t="shared" si="4"/>
        <v>0.6</v>
      </c>
      <c r="N36" s="11">
        <v>5</v>
      </c>
      <c r="O36" s="11">
        <f t="shared" si="5"/>
        <v>0.5</v>
      </c>
      <c r="P36" s="11">
        <v>64</v>
      </c>
      <c r="Q36" s="11">
        <f t="shared" si="6"/>
        <v>0.64</v>
      </c>
      <c r="R36" s="11">
        <f t="shared" si="7"/>
        <v>0.44799999999999995</v>
      </c>
      <c r="S36" s="11">
        <v>11.73</v>
      </c>
      <c r="T36" s="13">
        <f t="shared" si="8"/>
        <v>0.1173</v>
      </c>
      <c r="U36" s="11">
        <v>18.41</v>
      </c>
      <c r="V36" s="13">
        <f t="shared" si="9"/>
        <v>0.18410000000000001</v>
      </c>
      <c r="W36" s="11">
        <v>3.96</v>
      </c>
      <c r="X36" s="13">
        <f t="shared" si="10"/>
        <v>3.9599999999999996E-2</v>
      </c>
      <c r="Y36" s="11">
        <v>16.306564938338507</v>
      </c>
      <c r="Z36" s="11">
        <v>3.85</v>
      </c>
      <c r="AA36" s="11">
        <v>0</v>
      </c>
      <c r="AB36" s="11">
        <v>1</v>
      </c>
    </row>
    <row r="37" spans="3:28" x14ac:dyDescent="0.25">
      <c r="C37" s="11" t="s">
        <v>23</v>
      </c>
      <c r="D37" s="11">
        <v>6</v>
      </c>
      <c r="E37" s="11">
        <f t="shared" si="0"/>
        <v>0.6</v>
      </c>
      <c r="F37" s="11">
        <v>7</v>
      </c>
      <c r="G37" s="11">
        <f t="shared" si="1"/>
        <v>0.7</v>
      </c>
      <c r="H37" s="11">
        <v>8</v>
      </c>
      <c r="I37" s="11">
        <f t="shared" si="2"/>
        <v>0.8</v>
      </c>
      <c r="J37" s="11">
        <v>2</v>
      </c>
      <c r="K37" s="11">
        <f t="shared" si="3"/>
        <v>0.2</v>
      </c>
      <c r="L37" s="11">
        <v>4</v>
      </c>
      <c r="M37" s="11">
        <f t="shared" si="4"/>
        <v>0.4</v>
      </c>
      <c r="N37" s="11">
        <v>3</v>
      </c>
      <c r="O37" s="11">
        <f t="shared" si="5"/>
        <v>0.3</v>
      </c>
      <c r="P37" s="11">
        <v>63</v>
      </c>
      <c r="Q37" s="11">
        <f t="shared" si="6"/>
        <v>0.63</v>
      </c>
      <c r="R37" s="11">
        <f t="shared" si="7"/>
        <v>0.378</v>
      </c>
      <c r="S37" s="11">
        <v>14.51</v>
      </c>
      <c r="T37" s="13">
        <f t="shared" si="8"/>
        <v>0.14510000000000001</v>
      </c>
      <c r="U37" s="11">
        <v>14.58</v>
      </c>
      <c r="V37" s="13">
        <f t="shared" si="9"/>
        <v>0.14580000000000001</v>
      </c>
      <c r="W37" s="11">
        <v>2.54</v>
      </c>
      <c r="X37" s="13">
        <f t="shared" si="10"/>
        <v>2.5399999999999999E-2</v>
      </c>
      <c r="Y37" s="11">
        <v>17.504134979560181</v>
      </c>
      <c r="Z37" s="11">
        <v>3.06</v>
      </c>
      <c r="AA37" s="11">
        <v>1</v>
      </c>
      <c r="AB37" s="11">
        <v>0</v>
      </c>
    </row>
    <row r="38" spans="3:28" x14ac:dyDescent="0.25">
      <c r="C38" s="11" t="s">
        <v>16</v>
      </c>
      <c r="D38" s="11">
        <v>8</v>
      </c>
      <c r="E38" s="11">
        <f t="shared" si="0"/>
        <v>0.8</v>
      </c>
      <c r="F38" s="11">
        <v>8</v>
      </c>
      <c r="G38" s="11">
        <f t="shared" si="1"/>
        <v>0.8</v>
      </c>
      <c r="H38" s="11">
        <v>8</v>
      </c>
      <c r="I38" s="11">
        <f t="shared" si="2"/>
        <v>0.8</v>
      </c>
      <c r="J38" s="11">
        <v>6</v>
      </c>
      <c r="K38" s="11">
        <f t="shared" si="3"/>
        <v>0.6</v>
      </c>
      <c r="L38" s="11">
        <v>4</v>
      </c>
      <c r="M38" s="11">
        <f t="shared" si="4"/>
        <v>0.4</v>
      </c>
      <c r="N38" s="11">
        <v>0</v>
      </c>
      <c r="O38" s="11">
        <f t="shared" si="5"/>
        <v>0</v>
      </c>
      <c r="P38" s="11">
        <v>86</v>
      </c>
      <c r="Q38" s="11">
        <f t="shared" si="6"/>
        <v>0.86</v>
      </c>
      <c r="R38" s="11">
        <f t="shared" si="7"/>
        <v>0.68800000000000006</v>
      </c>
      <c r="S38" s="11">
        <v>11.9</v>
      </c>
      <c r="T38" s="13">
        <f t="shared" si="8"/>
        <v>0.11900000000000001</v>
      </c>
      <c r="U38" s="11">
        <v>20.07</v>
      </c>
      <c r="V38" s="13">
        <f t="shared" si="9"/>
        <v>0.20069999999999999</v>
      </c>
      <c r="W38" s="11">
        <v>5.0199999999999996</v>
      </c>
      <c r="X38" s="13">
        <f t="shared" si="10"/>
        <v>5.0199999999999995E-2</v>
      </c>
      <c r="Y38" s="11">
        <v>19.469707051873016</v>
      </c>
      <c r="Z38" s="11">
        <v>27.2</v>
      </c>
      <c r="AA38" s="11">
        <v>1</v>
      </c>
      <c r="AB38" s="11">
        <v>1</v>
      </c>
    </row>
    <row r="39" spans="3:28" x14ac:dyDescent="0.25">
      <c r="C39" s="11" t="s">
        <v>41</v>
      </c>
      <c r="D39" s="11">
        <v>9</v>
      </c>
      <c r="E39" s="11">
        <f t="shared" si="0"/>
        <v>0.9</v>
      </c>
      <c r="F39" s="11">
        <v>8</v>
      </c>
      <c r="G39" s="11">
        <f t="shared" si="1"/>
        <v>0.8</v>
      </c>
      <c r="H39" s="11">
        <v>9</v>
      </c>
      <c r="I39" s="11">
        <f t="shared" si="2"/>
        <v>0.9</v>
      </c>
      <c r="J39" s="11">
        <v>8</v>
      </c>
      <c r="K39" s="11">
        <f t="shared" si="3"/>
        <v>0.8</v>
      </c>
      <c r="L39" s="11">
        <v>9</v>
      </c>
      <c r="M39" s="11">
        <f t="shared" si="4"/>
        <v>0.9</v>
      </c>
      <c r="N39" s="11">
        <v>10</v>
      </c>
      <c r="O39" s="11">
        <f t="shared" si="5"/>
        <v>1</v>
      </c>
      <c r="P39" s="11">
        <v>68</v>
      </c>
      <c r="Q39" s="11">
        <f t="shared" si="6"/>
        <v>0.68</v>
      </c>
      <c r="R39" s="11">
        <f t="shared" si="7"/>
        <v>0.6120000000000001</v>
      </c>
      <c r="S39" s="11">
        <v>4</v>
      </c>
      <c r="T39" s="13">
        <f t="shared" si="8"/>
        <v>0.04</v>
      </c>
      <c r="U39" s="11">
        <v>59.24</v>
      </c>
      <c r="V39" s="13">
        <f t="shared" si="9"/>
        <v>0.59240000000000004</v>
      </c>
      <c r="W39" s="11">
        <v>1.94</v>
      </c>
      <c r="X39" s="13">
        <f t="shared" si="10"/>
        <v>1.9400000000000001E-2</v>
      </c>
      <c r="Y39" s="11">
        <v>17.796044185282391</v>
      </c>
      <c r="Z39" s="11">
        <v>22.17</v>
      </c>
      <c r="AA39" s="11">
        <v>0</v>
      </c>
      <c r="AB39" s="11">
        <v>1</v>
      </c>
    </row>
    <row r="40" spans="3:28" x14ac:dyDescent="0.25">
      <c r="C40" s="11" t="s">
        <v>36</v>
      </c>
      <c r="D40" s="11">
        <v>7</v>
      </c>
      <c r="E40" s="11">
        <f t="shared" si="0"/>
        <v>0.7</v>
      </c>
      <c r="F40" s="11">
        <v>7</v>
      </c>
      <c r="G40" s="11">
        <f t="shared" si="1"/>
        <v>0.7</v>
      </c>
      <c r="H40" s="11">
        <v>7</v>
      </c>
      <c r="I40" s="11">
        <f t="shared" si="2"/>
        <v>0.7</v>
      </c>
      <c r="J40" s="11">
        <v>6</v>
      </c>
      <c r="K40" s="11">
        <f t="shared" si="3"/>
        <v>0.6</v>
      </c>
      <c r="L40" s="11">
        <v>4</v>
      </c>
      <c r="M40" s="11">
        <f t="shared" si="4"/>
        <v>0.4</v>
      </c>
      <c r="N40" s="11">
        <v>1</v>
      </c>
      <c r="O40" s="11">
        <f t="shared" si="5"/>
        <v>0.1</v>
      </c>
      <c r="P40" s="11">
        <v>88</v>
      </c>
      <c r="Q40" s="11">
        <f t="shared" si="6"/>
        <v>0.88</v>
      </c>
      <c r="R40" s="11">
        <f t="shared" si="7"/>
        <v>0.61599999999999999</v>
      </c>
      <c r="S40" s="11">
        <v>9.52</v>
      </c>
      <c r="T40" s="13">
        <f t="shared" si="8"/>
        <v>9.5199999999999993E-2</v>
      </c>
      <c r="U40" s="11">
        <v>7.25</v>
      </c>
      <c r="V40" s="13">
        <f t="shared" si="9"/>
        <v>7.2499999999999995E-2</v>
      </c>
      <c r="W40" s="11">
        <v>2.13</v>
      </c>
      <c r="X40" s="13">
        <f t="shared" si="10"/>
        <v>2.1299999999999999E-2</v>
      </c>
      <c r="Y40" s="11">
        <v>18.105408197496068</v>
      </c>
      <c r="Z40" s="11">
        <v>10.36</v>
      </c>
      <c r="AA40" s="11">
        <v>0</v>
      </c>
      <c r="AB40" s="11">
        <v>1</v>
      </c>
    </row>
    <row r="41" spans="3:28" x14ac:dyDescent="0.25">
      <c r="C41" s="11" t="s">
        <v>21</v>
      </c>
      <c r="D41" s="11">
        <v>8</v>
      </c>
      <c r="E41" s="11">
        <f t="shared" si="0"/>
        <v>0.8</v>
      </c>
      <c r="F41" s="11">
        <v>9</v>
      </c>
      <c r="G41" s="11">
        <f t="shared" si="1"/>
        <v>0.9</v>
      </c>
      <c r="H41" s="11">
        <v>7</v>
      </c>
      <c r="I41" s="11">
        <f t="shared" si="2"/>
        <v>0.7</v>
      </c>
      <c r="J41" s="11">
        <v>8</v>
      </c>
      <c r="K41" s="11">
        <f t="shared" si="3"/>
        <v>0.8</v>
      </c>
      <c r="L41" s="11">
        <v>8</v>
      </c>
      <c r="M41" s="11">
        <f t="shared" si="4"/>
        <v>0.8</v>
      </c>
      <c r="N41" s="11">
        <v>10</v>
      </c>
      <c r="O41" s="11">
        <f t="shared" si="5"/>
        <v>1</v>
      </c>
      <c r="P41" s="11">
        <v>74</v>
      </c>
      <c r="Q41" s="11">
        <f t="shared" si="6"/>
        <v>0.74</v>
      </c>
      <c r="R41" s="11">
        <f t="shared" si="7"/>
        <v>0.59199999999999997</v>
      </c>
      <c r="S41" s="11">
        <v>16.649999999999999</v>
      </c>
      <c r="T41" s="13">
        <f t="shared" si="8"/>
        <v>0.16649999999999998</v>
      </c>
      <c r="U41" s="11">
        <v>17.52</v>
      </c>
      <c r="V41" s="13">
        <f t="shared" si="9"/>
        <v>0.17519999999999999</v>
      </c>
      <c r="W41" s="11">
        <v>4.01</v>
      </c>
      <c r="X41" s="13">
        <f t="shared" si="10"/>
        <v>4.0099999999999997E-2</v>
      </c>
      <c r="Y41" s="11">
        <v>18.679121938619264</v>
      </c>
      <c r="Z41" s="11">
        <v>21.06</v>
      </c>
      <c r="AA41" s="11">
        <v>1</v>
      </c>
      <c r="AB41" s="11">
        <v>1</v>
      </c>
    </row>
    <row r="42" spans="3:28" x14ac:dyDescent="0.25">
      <c r="C42" s="11" t="s">
        <v>48</v>
      </c>
      <c r="D42" s="11">
        <v>7</v>
      </c>
      <c r="E42" s="11">
        <f t="shared" si="0"/>
        <v>0.7</v>
      </c>
      <c r="F42" s="11">
        <v>7</v>
      </c>
      <c r="G42" s="11">
        <f t="shared" si="1"/>
        <v>0.7</v>
      </c>
      <c r="H42" s="11">
        <v>8</v>
      </c>
      <c r="I42" s="11">
        <f t="shared" si="2"/>
        <v>0.8</v>
      </c>
      <c r="J42" s="11">
        <v>6</v>
      </c>
      <c r="K42" s="11">
        <f t="shared" si="3"/>
        <v>0.6</v>
      </c>
      <c r="L42" s="11">
        <v>6</v>
      </c>
      <c r="M42" s="11">
        <f t="shared" si="4"/>
        <v>0.6</v>
      </c>
      <c r="N42" s="11">
        <v>5</v>
      </c>
      <c r="O42" s="11">
        <f t="shared" si="5"/>
        <v>0.5</v>
      </c>
      <c r="P42" s="11">
        <v>61</v>
      </c>
      <c r="Q42" s="11">
        <f t="shared" si="6"/>
        <v>0.61</v>
      </c>
      <c r="R42" s="11">
        <f t="shared" si="7"/>
        <v>0.42699999999999999</v>
      </c>
      <c r="S42" s="11">
        <v>-3.9</v>
      </c>
      <c r="T42" s="13">
        <f t="shared" si="8"/>
        <v>-3.9E-2</v>
      </c>
      <c r="U42" s="11">
        <v>-6.9</v>
      </c>
      <c r="V42" s="13">
        <f t="shared" si="9"/>
        <v>-6.9000000000000006E-2</v>
      </c>
      <c r="W42" s="11">
        <v>-1.49</v>
      </c>
      <c r="X42" s="13">
        <f t="shared" si="10"/>
        <v>-1.49E-2</v>
      </c>
      <c r="Y42" s="11">
        <v>15.886037482254537</v>
      </c>
      <c r="Z42" s="11">
        <v>2.65</v>
      </c>
      <c r="AA42" s="11">
        <v>0</v>
      </c>
      <c r="AB42" s="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AA2B-55F7-4B9A-8354-9B5382F2F115}">
  <dimension ref="A1:H41"/>
  <sheetViews>
    <sheetView topLeftCell="A21" workbookViewId="0">
      <selection activeCell="G1" sqref="G1:H41"/>
    </sheetView>
  </sheetViews>
  <sheetFormatPr baseColWidth="10" defaultRowHeight="15" x14ac:dyDescent="0.25"/>
  <cols>
    <col min="1" max="1" width="25.7109375" bestFit="1" customWidth="1"/>
    <col min="2" max="2" width="8" bestFit="1" customWidth="1"/>
    <col min="3" max="3" width="13.42578125" bestFit="1" customWidth="1"/>
    <col min="4" max="4" width="24.42578125" bestFit="1" customWidth="1"/>
    <col min="5" max="5" width="12" bestFit="1" customWidth="1"/>
    <col min="6" max="6" width="19.85546875" bestFit="1" customWidth="1"/>
    <col min="7" max="7" width="18.7109375" bestFit="1" customWidth="1"/>
    <col min="8" max="8" width="16.140625" bestFit="1" customWidth="1"/>
  </cols>
  <sheetData>
    <row r="1" spans="1:8" x14ac:dyDescent="0.25">
      <c r="A1" s="1" t="s">
        <v>0</v>
      </c>
      <c r="B1" s="1" t="s">
        <v>69</v>
      </c>
      <c r="C1" s="1" t="s">
        <v>58</v>
      </c>
      <c r="D1" s="1" t="s">
        <v>57</v>
      </c>
      <c r="E1" s="1" t="s">
        <v>104</v>
      </c>
      <c r="F1" s="1" t="s">
        <v>115</v>
      </c>
      <c r="G1" s="1" t="s">
        <v>117</v>
      </c>
      <c r="H1" s="1" t="s">
        <v>118</v>
      </c>
    </row>
    <row r="2" spans="1:8" x14ac:dyDescent="0.25">
      <c r="A2" s="11" t="s">
        <v>42</v>
      </c>
      <c r="B2" s="11">
        <v>5.2300000000000006E-2</v>
      </c>
      <c r="C2" s="11">
        <v>0.7</v>
      </c>
      <c r="D2" s="11">
        <v>0.44099999999999995</v>
      </c>
      <c r="E2" s="11">
        <v>16.305155962099448</v>
      </c>
      <c r="F2" s="11">
        <v>2.5</v>
      </c>
      <c r="G2" s="11">
        <v>0</v>
      </c>
      <c r="H2" s="11">
        <v>1</v>
      </c>
    </row>
    <row r="3" spans="1:8" x14ac:dyDescent="0.25">
      <c r="A3" s="11" t="s">
        <v>18</v>
      </c>
      <c r="B3" s="11">
        <v>6.6000000000000003E-2</v>
      </c>
      <c r="C3" s="11">
        <v>0.8</v>
      </c>
      <c r="D3" s="11">
        <v>0.66400000000000003</v>
      </c>
      <c r="E3" s="11">
        <v>17.764202947749432</v>
      </c>
      <c r="F3" s="11">
        <v>10.63</v>
      </c>
      <c r="G3" s="11">
        <v>1</v>
      </c>
      <c r="H3" s="11">
        <v>0</v>
      </c>
    </row>
    <row r="4" spans="1:8" x14ac:dyDescent="0.25">
      <c r="A4" s="11" t="s">
        <v>12</v>
      </c>
      <c r="B4" s="11">
        <v>3.2199999999999999E-2</v>
      </c>
      <c r="C4" s="11">
        <v>0.7</v>
      </c>
      <c r="D4" s="11">
        <v>0.47599999999999998</v>
      </c>
      <c r="E4" s="11">
        <v>18.094285562827682</v>
      </c>
      <c r="F4" s="11">
        <v>-3.73</v>
      </c>
      <c r="G4" s="11">
        <v>1</v>
      </c>
      <c r="H4" s="11">
        <v>0</v>
      </c>
    </row>
    <row r="5" spans="1:8" x14ac:dyDescent="0.25">
      <c r="A5" s="11" t="s">
        <v>33</v>
      </c>
      <c r="B5" s="11">
        <v>1.46E-2</v>
      </c>
      <c r="C5" s="11">
        <v>0.7</v>
      </c>
      <c r="D5" s="11">
        <v>0.24499999999999997</v>
      </c>
      <c r="E5" s="11">
        <v>17.032023593643288</v>
      </c>
      <c r="F5" s="11">
        <v>5.16</v>
      </c>
      <c r="G5" s="11">
        <v>1</v>
      </c>
      <c r="H5" s="11">
        <v>0</v>
      </c>
    </row>
    <row r="6" spans="1:8" x14ac:dyDescent="0.25">
      <c r="A6" s="11" t="s">
        <v>19</v>
      </c>
      <c r="B6" s="11">
        <v>2.4700000000000003E-2</v>
      </c>
      <c r="C6" s="11">
        <v>0.8</v>
      </c>
      <c r="D6" s="11">
        <v>0.68800000000000006</v>
      </c>
      <c r="E6" s="11">
        <v>20.298253904341742</v>
      </c>
      <c r="F6" s="11">
        <v>43.46</v>
      </c>
      <c r="G6" s="11">
        <v>0</v>
      </c>
      <c r="H6" s="11">
        <v>1</v>
      </c>
    </row>
    <row r="7" spans="1:8" x14ac:dyDescent="0.25">
      <c r="A7" s="11" t="s">
        <v>20</v>
      </c>
      <c r="B7" s="11">
        <v>4.4000000000000003E-3</v>
      </c>
      <c r="C7" s="11">
        <v>0.8</v>
      </c>
      <c r="D7" s="11">
        <v>0.45599999999999996</v>
      </c>
      <c r="E7" s="11">
        <v>21.718333737575893</v>
      </c>
      <c r="F7" s="11">
        <v>71.849999999999994</v>
      </c>
      <c r="G7" s="11">
        <v>0</v>
      </c>
      <c r="H7" s="11">
        <v>1</v>
      </c>
    </row>
    <row r="8" spans="1:8" x14ac:dyDescent="0.25">
      <c r="A8" s="11" t="s">
        <v>40</v>
      </c>
      <c r="B8" s="11">
        <v>1.7100000000000001E-2</v>
      </c>
      <c r="C8" s="11">
        <v>0.7</v>
      </c>
      <c r="D8" s="11">
        <v>0.61599999999999999</v>
      </c>
      <c r="E8" s="11">
        <v>17.959977729589585</v>
      </c>
      <c r="F8" s="11">
        <v>9.18</v>
      </c>
      <c r="G8" s="11">
        <v>1</v>
      </c>
      <c r="H8" s="11">
        <v>1</v>
      </c>
    </row>
    <row r="9" spans="1:8" x14ac:dyDescent="0.25">
      <c r="A9" s="11" t="s">
        <v>34</v>
      </c>
      <c r="B9" s="11">
        <v>6.6400000000000001E-2</v>
      </c>
      <c r="C9" s="11">
        <v>0.6</v>
      </c>
      <c r="D9" s="11">
        <v>0.49199999999999994</v>
      </c>
      <c r="E9" s="11">
        <v>17.060443917151765</v>
      </c>
      <c r="F9" s="11">
        <v>3.29</v>
      </c>
      <c r="G9" s="11">
        <v>0</v>
      </c>
      <c r="H9" s="11">
        <v>1</v>
      </c>
    </row>
    <row r="10" spans="1:8" x14ac:dyDescent="0.25">
      <c r="A10" s="11" t="s">
        <v>45</v>
      </c>
      <c r="B10" s="11">
        <v>1.2699999999999999E-2</v>
      </c>
      <c r="C10" s="11">
        <v>0.7</v>
      </c>
      <c r="D10" s="11">
        <v>0.69299999999999995</v>
      </c>
      <c r="E10" s="11">
        <v>17.864910054143206</v>
      </c>
      <c r="F10" s="11">
        <v>-1.5</v>
      </c>
      <c r="G10" s="11">
        <v>0</v>
      </c>
      <c r="H10" s="11">
        <v>1</v>
      </c>
    </row>
    <row r="11" spans="1:8" x14ac:dyDescent="0.25">
      <c r="A11" s="11" t="s">
        <v>27</v>
      </c>
      <c r="B11" s="11">
        <v>4.7800000000000002E-2</v>
      </c>
      <c r="C11" s="11">
        <v>0.8</v>
      </c>
      <c r="D11" s="11">
        <v>0.41600000000000004</v>
      </c>
      <c r="E11" s="11">
        <v>17.9380861805272</v>
      </c>
      <c r="F11" s="11">
        <v>9.3800000000000008</v>
      </c>
      <c r="G11" s="11">
        <v>1</v>
      </c>
      <c r="H11" s="11">
        <v>0</v>
      </c>
    </row>
    <row r="12" spans="1:8" x14ac:dyDescent="0.25">
      <c r="A12" s="11" t="s">
        <v>25</v>
      </c>
      <c r="B12" s="11">
        <v>2.8999999999999998E-3</v>
      </c>
      <c r="C12" s="11">
        <v>0.6</v>
      </c>
      <c r="D12" s="11">
        <v>0.34199999999999997</v>
      </c>
      <c r="E12" s="11">
        <v>21.560418984732397</v>
      </c>
      <c r="F12" s="11">
        <v>-265.89999999999998</v>
      </c>
      <c r="G12" s="11">
        <v>0</v>
      </c>
      <c r="H12" s="11">
        <v>1</v>
      </c>
    </row>
    <row r="13" spans="1:8" x14ac:dyDescent="0.25">
      <c r="A13" s="11" t="s">
        <v>24</v>
      </c>
      <c r="B13" s="11">
        <v>4.4999999999999998E-2</v>
      </c>
      <c r="C13" s="11">
        <v>0.9</v>
      </c>
      <c r="D13" s="11">
        <v>0.73799999999999999</v>
      </c>
      <c r="E13" s="11">
        <v>17.628640974416069</v>
      </c>
      <c r="F13" s="11">
        <v>12.72</v>
      </c>
      <c r="G13" s="11">
        <v>1</v>
      </c>
      <c r="H13" s="11">
        <v>0</v>
      </c>
    </row>
    <row r="14" spans="1:8" x14ac:dyDescent="0.25">
      <c r="A14" s="11" t="s">
        <v>31</v>
      </c>
      <c r="B14" s="11">
        <v>7.9600000000000004E-2</v>
      </c>
      <c r="C14" s="11">
        <v>0.6</v>
      </c>
      <c r="D14" s="11">
        <v>0.39600000000000002</v>
      </c>
      <c r="E14" s="11">
        <v>16.559307496228779</v>
      </c>
      <c r="F14" s="11">
        <v>-0.89</v>
      </c>
      <c r="G14" s="11">
        <v>0</v>
      </c>
      <c r="H14" s="11">
        <v>1</v>
      </c>
    </row>
    <row r="15" spans="1:8" x14ac:dyDescent="0.25">
      <c r="A15" s="11" t="s">
        <v>46</v>
      </c>
      <c r="B15" s="11">
        <v>3.8199999999999998E-2</v>
      </c>
      <c r="C15" s="11">
        <v>0.7</v>
      </c>
      <c r="D15" s="11">
        <v>0.49699999999999994</v>
      </c>
      <c r="E15" s="11">
        <v>16.40071492906764</v>
      </c>
      <c r="F15" s="11">
        <v>2.9</v>
      </c>
      <c r="G15" s="11">
        <v>0</v>
      </c>
      <c r="H15" s="11">
        <v>1</v>
      </c>
    </row>
    <row r="16" spans="1:8" x14ac:dyDescent="0.25">
      <c r="A16" s="11" t="s">
        <v>22</v>
      </c>
      <c r="B16" s="11">
        <v>2.87E-2</v>
      </c>
      <c r="C16" s="11">
        <v>0.7</v>
      </c>
      <c r="D16" s="11">
        <v>0.61599999999999999</v>
      </c>
      <c r="E16" s="11">
        <v>19.06013174550845</v>
      </c>
      <c r="F16" s="11">
        <v>35.08</v>
      </c>
      <c r="G16" s="11">
        <v>1</v>
      </c>
      <c r="H16" s="11">
        <v>1</v>
      </c>
    </row>
    <row r="17" spans="1:8" x14ac:dyDescent="0.25">
      <c r="A17" s="11" t="s">
        <v>13</v>
      </c>
      <c r="B17" s="11">
        <v>3.49E-2</v>
      </c>
      <c r="C17" s="11">
        <v>0.6</v>
      </c>
      <c r="D17" s="11">
        <v>0.58199999999999996</v>
      </c>
      <c r="E17" s="11">
        <v>17.978510156835785</v>
      </c>
      <c r="F17" s="11">
        <v>10.96</v>
      </c>
      <c r="G17" s="11">
        <v>1</v>
      </c>
      <c r="H17" s="11">
        <v>0</v>
      </c>
    </row>
    <row r="18" spans="1:8" x14ac:dyDescent="0.25">
      <c r="A18" s="11" t="s">
        <v>43</v>
      </c>
      <c r="B18" s="11">
        <v>5.1500000000000004E-2</v>
      </c>
      <c r="C18" s="11">
        <v>0.7</v>
      </c>
      <c r="D18" s="11">
        <v>0.308</v>
      </c>
      <c r="E18" s="11">
        <v>16.2032085603315</v>
      </c>
      <c r="F18" s="11">
        <v>3</v>
      </c>
      <c r="G18" s="11">
        <v>0</v>
      </c>
      <c r="H18" s="11">
        <v>1</v>
      </c>
    </row>
    <row r="19" spans="1:8" x14ac:dyDescent="0.25">
      <c r="A19" s="11" t="s">
        <v>10</v>
      </c>
      <c r="B19" s="11">
        <v>0.1789</v>
      </c>
      <c r="C19" s="11">
        <v>0.5</v>
      </c>
      <c r="D19" s="11">
        <v>0.32</v>
      </c>
      <c r="E19" s="11">
        <v>16.954650294812993</v>
      </c>
      <c r="F19" s="11">
        <v>-9.4700000000000006</v>
      </c>
      <c r="G19" s="11">
        <v>1</v>
      </c>
      <c r="H19" s="11">
        <v>1</v>
      </c>
    </row>
    <row r="20" spans="1:8" x14ac:dyDescent="0.25">
      <c r="A20" s="11" t="s">
        <v>29</v>
      </c>
      <c r="B20" s="11">
        <v>3.7699999999999997E-2</v>
      </c>
      <c r="C20" s="11">
        <v>0.7</v>
      </c>
      <c r="D20" s="11">
        <v>0.64400000000000002</v>
      </c>
      <c r="E20" s="11">
        <v>17.584724984730485</v>
      </c>
      <c r="F20" s="11">
        <v>15.92</v>
      </c>
      <c r="G20" s="11">
        <v>1</v>
      </c>
      <c r="H20" s="11">
        <v>1</v>
      </c>
    </row>
    <row r="21" spans="1:8" x14ac:dyDescent="0.25">
      <c r="A21" s="11" t="s">
        <v>28</v>
      </c>
      <c r="B21" s="11">
        <v>6.6199999999999995E-2</v>
      </c>
      <c r="C21" s="11">
        <v>0.8</v>
      </c>
      <c r="D21" s="11">
        <v>0.72000000000000008</v>
      </c>
      <c r="E21" s="11">
        <v>16.592775828087959</v>
      </c>
      <c r="F21" s="11">
        <v>3.01</v>
      </c>
      <c r="G21" s="11">
        <v>1</v>
      </c>
      <c r="H21" s="11">
        <v>0</v>
      </c>
    </row>
    <row r="22" spans="1:8" x14ac:dyDescent="0.25">
      <c r="A22" s="11" t="s">
        <v>11</v>
      </c>
      <c r="B22" s="11">
        <v>0.1002</v>
      </c>
      <c r="C22" s="11">
        <v>0.8</v>
      </c>
      <c r="D22" s="11">
        <v>0.78400000000000003</v>
      </c>
      <c r="E22" s="11">
        <v>17.847153133808195</v>
      </c>
      <c r="F22" s="11">
        <v>4.4400000000000004</v>
      </c>
      <c r="G22" s="11">
        <v>1</v>
      </c>
      <c r="H22" s="11">
        <v>0</v>
      </c>
    </row>
    <row r="23" spans="1:8" x14ac:dyDescent="0.25">
      <c r="A23" s="11" t="s">
        <v>5</v>
      </c>
      <c r="B23" s="11">
        <v>8.3599999999999994E-2</v>
      </c>
      <c r="C23" s="11">
        <v>0.8</v>
      </c>
      <c r="D23" s="11">
        <v>0.76</v>
      </c>
      <c r="E23" s="11">
        <v>18.820731219359033</v>
      </c>
      <c r="F23" s="11">
        <v>31.57</v>
      </c>
      <c r="G23" s="11">
        <v>1</v>
      </c>
      <c r="H23" s="11">
        <v>1</v>
      </c>
    </row>
    <row r="24" spans="1:8" x14ac:dyDescent="0.25">
      <c r="A24" s="11" t="s">
        <v>38</v>
      </c>
      <c r="B24" s="11">
        <v>5.3399999999999996E-2</v>
      </c>
      <c r="C24" s="11">
        <v>0.8</v>
      </c>
      <c r="D24" s="11">
        <v>0.72800000000000009</v>
      </c>
      <c r="E24" s="11">
        <v>17.435897015632911</v>
      </c>
      <c r="F24" s="11">
        <v>3.63</v>
      </c>
      <c r="G24" s="11">
        <v>1</v>
      </c>
      <c r="H24" s="11">
        <v>0</v>
      </c>
    </row>
    <row r="25" spans="1:8" x14ac:dyDescent="0.25">
      <c r="A25" s="11" t="s">
        <v>30</v>
      </c>
      <c r="B25" s="11">
        <v>3.6699999999999997E-2</v>
      </c>
      <c r="C25" s="11">
        <v>0.7</v>
      </c>
      <c r="D25" s="11">
        <v>0.63</v>
      </c>
      <c r="E25" s="11">
        <v>18.458689184138073</v>
      </c>
      <c r="F25" s="11">
        <v>-1.4</v>
      </c>
      <c r="G25" s="11">
        <v>0</v>
      </c>
      <c r="H25" s="11">
        <v>1</v>
      </c>
    </row>
    <row r="26" spans="1:8" x14ac:dyDescent="0.25">
      <c r="A26" s="11" t="s">
        <v>37</v>
      </c>
      <c r="B26" s="11">
        <v>4.4000000000000004E-2</v>
      </c>
      <c r="C26" s="11">
        <v>0.6</v>
      </c>
      <c r="D26" s="11">
        <v>0.49799999999999994</v>
      </c>
      <c r="E26" s="11">
        <v>17.428588298661928</v>
      </c>
      <c r="F26" s="11">
        <v>10.76</v>
      </c>
      <c r="G26" s="11">
        <v>1</v>
      </c>
      <c r="H26" s="11">
        <v>0</v>
      </c>
    </row>
    <row r="27" spans="1:8" x14ac:dyDescent="0.25">
      <c r="A27" s="11" t="s">
        <v>35</v>
      </c>
      <c r="B27" s="11">
        <v>4.7800000000000002E-2</v>
      </c>
      <c r="C27" s="11">
        <v>0.7</v>
      </c>
      <c r="D27" s="11">
        <v>0.41299999999999998</v>
      </c>
      <c r="E27" s="11">
        <v>17.500733334574665</v>
      </c>
      <c r="F27" s="11">
        <v>1.53</v>
      </c>
      <c r="G27" s="11">
        <v>0</v>
      </c>
      <c r="H27" s="11">
        <v>1</v>
      </c>
    </row>
    <row r="28" spans="1:8" x14ac:dyDescent="0.25">
      <c r="A28" s="11" t="s">
        <v>44</v>
      </c>
      <c r="B28" s="11">
        <v>-9.5000000000000001E-2</v>
      </c>
      <c r="C28" s="11">
        <v>0.8</v>
      </c>
      <c r="D28" s="11">
        <v>0.4</v>
      </c>
      <c r="E28" s="11">
        <v>18.678156154346745</v>
      </c>
      <c r="F28" s="11">
        <v>48.71</v>
      </c>
      <c r="G28" s="11">
        <v>1</v>
      </c>
      <c r="H28" s="11">
        <v>0</v>
      </c>
    </row>
    <row r="29" spans="1:8" x14ac:dyDescent="0.25">
      <c r="A29" s="11" t="s">
        <v>15</v>
      </c>
      <c r="B29" s="11">
        <v>8.1199999999999994E-2</v>
      </c>
      <c r="C29" s="11">
        <v>0.7</v>
      </c>
      <c r="D29" s="11">
        <v>0.32899999999999996</v>
      </c>
      <c r="E29" s="11">
        <v>17.823061901216736</v>
      </c>
      <c r="F29" s="11">
        <v>-1.46</v>
      </c>
      <c r="G29" s="11">
        <v>1</v>
      </c>
      <c r="H29" s="11">
        <v>0</v>
      </c>
    </row>
    <row r="30" spans="1:8" x14ac:dyDescent="0.25">
      <c r="A30" s="11" t="s">
        <v>17</v>
      </c>
      <c r="B30" s="11">
        <v>4.24E-2</v>
      </c>
      <c r="C30" s="11">
        <v>0.8</v>
      </c>
      <c r="D30" s="11">
        <v>0.8</v>
      </c>
      <c r="E30" s="11">
        <v>18.704339734652237</v>
      </c>
      <c r="F30" s="11">
        <v>10.46</v>
      </c>
      <c r="G30" s="11">
        <v>1</v>
      </c>
      <c r="H30" s="11">
        <v>0</v>
      </c>
    </row>
    <row r="31" spans="1:8" x14ac:dyDescent="0.25">
      <c r="A31" s="11" t="s">
        <v>14</v>
      </c>
      <c r="B31" s="11">
        <v>7.2599999999999998E-2</v>
      </c>
      <c r="C31" s="11">
        <v>0.8</v>
      </c>
      <c r="D31" s="11">
        <v>0.68</v>
      </c>
      <c r="E31" s="11">
        <v>18.00430129047832</v>
      </c>
      <c r="F31" s="11">
        <v>7.94</v>
      </c>
      <c r="G31" s="11">
        <v>1</v>
      </c>
      <c r="H31" s="11">
        <v>0</v>
      </c>
    </row>
    <row r="32" spans="1:8" x14ac:dyDescent="0.25">
      <c r="A32" s="11" t="s">
        <v>26</v>
      </c>
      <c r="B32" s="11">
        <v>4.1999999999999997E-3</v>
      </c>
      <c r="C32" s="11">
        <v>0.8</v>
      </c>
      <c r="D32" s="11">
        <v>0.55999999999999994</v>
      </c>
      <c r="E32" s="11">
        <v>21.176596872725199</v>
      </c>
      <c r="F32" s="11">
        <v>-90.03</v>
      </c>
      <c r="G32" s="11">
        <v>0</v>
      </c>
      <c r="H32" s="11">
        <v>1</v>
      </c>
    </row>
    <row r="33" spans="1:8" x14ac:dyDescent="0.25">
      <c r="A33" s="11" t="s">
        <v>32</v>
      </c>
      <c r="B33" s="11">
        <v>-1.1699999999999999E-2</v>
      </c>
      <c r="C33" s="11">
        <v>0.8</v>
      </c>
      <c r="D33" s="11">
        <v>0.4</v>
      </c>
      <c r="E33" s="11">
        <v>19.151157427377335</v>
      </c>
      <c r="F33" s="11">
        <v>3.13</v>
      </c>
      <c r="G33" s="11">
        <v>1</v>
      </c>
      <c r="H33" s="11">
        <v>0</v>
      </c>
    </row>
    <row r="34" spans="1:8" x14ac:dyDescent="0.25">
      <c r="A34" s="11" t="s">
        <v>39</v>
      </c>
      <c r="B34" s="11">
        <v>3.5000000000000003E-2</v>
      </c>
      <c r="C34" s="11">
        <v>0.9</v>
      </c>
      <c r="D34" s="11">
        <v>0.70200000000000007</v>
      </c>
      <c r="E34" s="11">
        <v>17.024053178692682</v>
      </c>
      <c r="F34" s="11">
        <v>3.1</v>
      </c>
      <c r="G34" s="11">
        <v>1</v>
      </c>
      <c r="H34" s="11">
        <v>0</v>
      </c>
    </row>
    <row r="35" spans="1:8" x14ac:dyDescent="0.25">
      <c r="A35" s="11" t="s">
        <v>47</v>
      </c>
      <c r="B35" s="11">
        <v>3.9599999999999996E-2</v>
      </c>
      <c r="C35" s="11">
        <v>0.7</v>
      </c>
      <c r="D35" s="11">
        <v>0.44799999999999995</v>
      </c>
      <c r="E35" s="11">
        <v>16.306564938338507</v>
      </c>
      <c r="F35" s="11">
        <v>3.85</v>
      </c>
      <c r="G35" s="11">
        <v>0</v>
      </c>
      <c r="H35" s="11">
        <v>1</v>
      </c>
    </row>
    <row r="36" spans="1:8" x14ac:dyDescent="0.25">
      <c r="A36" s="11" t="s">
        <v>23</v>
      </c>
      <c r="B36" s="11">
        <v>2.5399999999999999E-2</v>
      </c>
      <c r="C36" s="11">
        <v>0.6</v>
      </c>
      <c r="D36" s="11">
        <v>0.378</v>
      </c>
      <c r="E36" s="11">
        <v>17.504134979560181</v>
      </c>
      <c r="F36" s="11">
        <v>3.06</v>
      </c>
      <c r="G36" s="11">
        <v>1</v>
      </c>
      <c r="H36" s="11">
        <v>0</v>
      </c>
    </row>
    <row r="37" spans="1:8" x14ac:dyDescent="0.25">
      <c r="A37" s="11" t="s">
        <v>16</v>
      </c>
      <c r="B37" s="11">
        <v>5.0199999999999995E-2</v>
      </c>
      <c r="C37" s="11">
        <v>0.8</v>
      </c>
      <c r="D37" s="11">
        <v>0.68800000000000006</v>
      </c>
      <c r="E37" s="11">
        <v>19.469707051873016</v>
      </c>
      <c r="F37" s="11">
        <v>27.2</v>
      </c>
      <c r="G37" s="11">
        <v>1</v>
      </c>
      <c r="H37" s="11">
        <v>1</v>
      </c>
    </row>
    <row r="38" spans="1:8" x14ac:dyDescent="0.25">
      <c r="A38" s="11" t="s">
        <v>41</v>
      </c>
      <c r="B38" s="11">
        <v>1.9400000000000001E-2</v>
      </c>
      <c r="C38" s="11">
        <v>0.9</v>
      </c>
      <c r="D38" s="11">
        <v>0.6120000000000001</v>
      </c>
      <c r="E38" s="11">
        <v>17.796044185282391</v>
      </c>
      <c r="F38" s="11">
        <v>22.17</v>
      </c>
      <c r="G38" s="11">
        <v>0</v>
      </c>
      <c r="H38" s="11">
        <v>1</v>
      </c>
    </row>
    <row r="39" spans="1:8" x14ac:dyDescent="0.25">
      <c r="A39" s="11" t="s">
        <v>36</v>
      </c>
      <c r="B39" s="11">
        <v>2.1299999999999999E-2</v>
      </c>
      <c r="C39" s="11">
        <v>0.7</v>
      </c>
      <c r="D39" s="11">
        <v>0.61599999999999999</v>
      </c>
      <c r="E39" s="11">
        <v>18.105408197496068</v>
      </c>
      <c r="F39" s="11">
        <v>10.36</v>
      </c>
      <c r="G39" s="11">
        <v>0</v>
      </c>
      <c r="H39" s="11">
        <v>1</v>
      </c>
    </row>
    <row r="40" spans="1:8" x14ac:dyDescent="0.25">
      <c r="A40" s="11" t="s">
        <v>21</v>
      </c>
      <c r="B40" s="11">
        <v>4.0099999999999997E-2</v>
      </c>
      <c r="C40" s="11">
        <v>0.8</v>
      </c>
      <c r="D40" s="11">
        <v>0.59199999999999997</v>
      </c>
      <c r="E40" s="11">
        <v>18.679121938619264</v>
      </c>
      <c r="F40" s="11">
        <v>21.06</v>
      </c>
      <c r="G40" s="11">
        <v>1</v>
      </c>
      <c r="H40" s="11">
        <v>1</v>
      </c>
    </row>
    <row r="41" spans="1:8" x14ac:dyDescent="0.25">
      <c r="A41" s="11" t="s">
        <v>48</v>
      </c>
      <c r="B41" s="11">
        <v>-1.49E-2</v>
      </c>
      <c r="C41" s="11">
        <v>0.7</v>
      </c>
      <c r="D41" s="11">
        <v>0.42699999999999999</v>
      </c>
      <c r="E41" s="11">
        <v>15.886037482254537</v>
      </c>
      <c r="F41" s="11">
        <v>2.65</v>
      </c>
      <c r="G41" s="11">
        <v>0</v>
      </c>
      <c r="H41" s="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E265-C769-4671-83B2-9DB8D6FE3E4D}">
  <dimension ref="A1:AC41"/>
  <sheetViews>
    <sheetView topLeftCell="V1" workbookViewId="0">
      <selection activeCell="W6" sqref="W6"/>
    </sheetView>
  </sheetViews>
  <sheetFormatPr baseColWidth="10" defaultRowHeight="15" x14ac:dyDescent="0.25"/>
  <cols>
    <col min="1" max="1" width="25.7109375" bestFit="1" customWidth="1"/>
    <col min="2" max="2" width="39.28515625" bestFit="1" customWidth="1"/>
    <col min="3" max="3" width="20.140625" bestFit="1" customWidth="1"/>
    <col min="4" max="4" width="12" bestFit="1" customWidth="1"/>
    <col min="5" max="5" width="18.7109375" bestFit="1" customWidth="1"/>
    <col min="6" max="7" width="16.140625" bestFit="1" customWidth="1"/>
    <col min="8" max="8" width="25.7109375" bestFit="1" customWidth="1"/>
    <col min="9" max="9" width="39.28515625" bestFit="1" customWidth="1"/>
    <col min="10" max="10" width="9.5703125" bestFit="1" customWidth="1"/>
    <col min="11" max="11" width="12" bestFit="1" customWidth="1"/>
    <col min="12" max="12" width="18.7109375" bestFit="1" customWidth="1"/>
    <col min="13" max="13" width="16.140625" bestFit="1" customWidth="1"/>
    <col min="15" max="15" width="25.7109375" bestFit="1" customWidth="1"/>
    <col min="16" max="16" width="39.28515625" bestFit="1" customWidth="1"/>
    <col min="17" max="17" width="16.28515625" bestFit="1" customWidth="1"/>
    <col min="18" max="18" width="12" bestFit="1" customWidth="1"/>
    <col min="19" max="19" width="18.7109375" bestFit="1" customWidth="1"/>
    <col min="20" max="20" width="16.140625" bestFit="1" customWidth="1"/>
    <col min="21" max="21" width="16.5703125" bestFit="1" customWidth="1"/>
    <col min="22" max="22" width="25.7109375" bestFit="1" customWidth="1"/>
    <col min="23" max="23" width="39.28515625" bestFit="1" customWidth="1"/>
    <col min="24" max="24" width="20.140625" bestFit="1" customWidth="1"/>
    <col min="25" max="25" width="9.5703125" bestFit="1" customWidth="1"/>
    <col min="26" max="26" width="16.28515625" bestFit="1" customWidth="1"/>
    <col min="27" max="27" width="12" bestFit="1" customWidth="1"/>
    <col min="28" max="28" width="18.7109375" bestFit="1" customWidth="1"/>
    <col min="29" max="29" width="16.140625" bestFit="1" customWidth="1"/>
    <col min="35" max="35" width="25.7109375" bestFit="1" customWidth="1"/>
    <col min="36" max="36" width="39.28515625" bestFit="1" customWidth="1"/>
    <col min="37" max="37" width="13.42578125" bestFit="1" customWidth="1"/>
    <col min="38" max="38" width="20.140625" bestFit="1" customWidth="1"/>
    <col min="39" max="39" width="9.5703125" bestFit="1" customWidth="1"/>
    <col min="40" max="40" width="16.28515625" bestFit="1" customWidth="1"/>
    <col min="41" max="41" width="8" bestFit="1" customWidth="1"/>
    <col min="42" max="42" width="16.5703125" bestFit="1" customWidth="1"/>
  </cols>
  <sheetData>
    <row r="1" spans="1:29" x14ac:dyDescent="0.25">
      <c r="A1" s="1" t="s">
        <v>0</v>
      </c>
      <c r="B1" s="1" t="s">
        <v>63</v>
      </c>
      <c r="C1" s="1" t="s">
        <v>59</v>
      </c>
      <c r="D1" s="1" t="s">
        <v>104</v>
      </c>
      <c r="E1" s="1" t="s">
        <v>117</v>
      </c>
      <c r="F1" s="1" t="s">
        <v>118</v>
      </c>
      <c r="H1" s="1" t="s">
        <v>0</v>
      </c>
      <c r="I1" s="1" t="s">
        <v>63</v>
      </c>
      <c r="J1" s="1" t="s">
        <v>60</v>
      </c>
      <c r="K1" s="1" t="s">
        <v>104</v>
      </c>
      <c r="L1" s="1" t="s">
        <v>117</v>
      </c>
      <c r="M1" s="1" t="s">
        <v>118</v>
      </c>
      <c r="O1" s="1" t="s">
        <v>0</v>
      </c>
      <c r="P1" s="1" t="s">
        <v>63</v>
      </c>
      <c r="Q1" s="1" t="s">
        <v>61</v>
      </c>
      <c r="R1" s="1" t="s">
        <v>104</v>
      </c>
      <c r="S1" s="1" t="s">
        <v>117</v>
      </c>
      <c r="T1" s="1" t="s">
        <v>118</v>
      </c>
      <c r="V1" s="1" t="s">
        <v>0</v>
      </c>
      <c r="W1" s="1" t="s">
        <v>63</v>
      </c>
      <c r="X1" s="1" t="s">
        <v>59</v>
      </c>
      <c r="Y1" s="1" t="s">
        <v>60</v>
      </c>
      <c r="Z1" s="1" t="s">
        <v>61</v>
      </c>
      <c r="AA1" s="1" t="s">
        <v>104</v>
      </c>
      <c r="AB1" s="1" t="s">
        <v>117</v>
      </c>
      <c r="AC1" s="1" t="s">
        <v>118</v>
      </c>
    </row>
    <row r="2" spans="1:29" x14ac:dyDescent="0.25">
      <c r="A2" s="11" t="s">
        <v>42</v>
      </c>
      <c r="B2" s="11">
        <v>0.63</v>
      </c>
      <c r="C2" s="11">
        <v>0.7</v>
      </c>
      <c r="D2" s="13">
        <v>16.305155962099448</v>
      </c>
      <c r="E2" s="11">
        <v>0</v>
      </c>
      <c r="F2" s="11">
        <v>1</v>
      </c>
      <c r="H2" s="11" t="s">
        <v>42</v>
      </c>
      <c r="I2" s="11">
        <v>0.63</v>
      </c>
      <c r="J2" s="11">
        <v>0.7</v>
      </c>
      <c r="K2" s="13">
        <v>16.305155962099448</v>
      </c>
      <c r="L2" s="11">
        <v>0</v>
      </c>
      <c r="M2" s="11">
        <v>1</v>
      </c>
      <c r="O2" s="11" t="s">
        <v>42</v>
      </c>
      <c r="P2" s="11">
        <v>0.63</v>
      </c>
      <c r="Q2" s="11">
        <v>0.6</v>
      </c>
      <c r="R2" s="13">
        <v>16.305155962099448</v>
      </c>
      <c r="S2" s="11">
        <v>0</v>
      </c>
      <c r="T2" s="11">
        <v>1</v>
      </c>
      <c r="V2" s="11" t="s">
        <v>42</v>
      </c>
      <c r="W2" s="11">
        <v>0.63</v>
      </c>
      <c r="X2" s="11">
        <v>0.7</v>
      </c>
      <c r="Y2" s="11">
        <v>0.7</v>
      </c>
      <c r="Z2" s="11">
        <v>0.6</v>
      </c>
      <c r="AA2" s="13">
        <v>16.305155962099448</v>
      </c>
      <c r="AB2" s="11">
        <v>0</v>
      </c>
      <c r="AC2" s="11">
        <v>1</v>
      </c>
    </row>
    <row r="3" spans="1:29" x14ac:dyDescent="0.25">
      <c r="A3" s="11" t="s">
        <v>18</v>
      </c>
      <c r="B3" s="11">
        <v>0.83</v>
      </c>
      <c r="C3" s="11">
        <v>0.7</v>
      </c>
      <c r="D3" s="13">
        <v>17.764202947749432</v>
      </c>
      <c r="E3" s="11">
        <v>1</v>
      </c>
      <c r="F3" s="11">
        <v>0</v>
      </c>
      <c r="H3" s="11" t="s">
        <v>18</v>
      </c>
      <c r="I3" s="11">
        <v>0.83</v>
      </c>
      <c r="J3" s="11">
        <v>0.8</v>
      </c>
      <c r="K3" s="13">
        <v>17.764202947749432</v>
      </c>
      <c r="L3" s="11">
        <v>1</v>
      </c>
      <c r="M3" s="11">
        <v>0</v>
      </c>
      <c r="O3" s="11" t="s">
        <v>18</v>
      </c>
      <c r="P3" s="11">
        <v>0.83</v>
      </c>
      <c r="Q3" s="11">
        <v>0.8</v>
      </c>
      <c r="R3" s="13">
        <v>17.764202947749432</v>
      </c>
      <c r="S3" s="11">
        <v>1</v>
      </c>
      <c r="T3" s="11">
        <v>0</v>
      </c>
      <c r="V3" s="11" t="s">
        <v>18</v>
      </c>
      <c r="W3" s="11">
        <v>0.83</v>
      </c>
      <c r="X3" s="11">
        <v>0.7</v>
      </c>
      <c r="Y3" s="11">
        <v>0.8</v>
      </c>
      <c r="Z3" s="11">
        <v>0.8</v>
      </c>
      <c r="AA3" s="13">
        <v>17.764202947749432</v>
      </c>
      <c r="AB3" s="11">
        <v>1</v>
      </c>
      <c r="AC3" s="11">
        <v>0</v>
      </c>
    </row>
    <row r="4" spans="1:29" x14ac:dyDescent="0.25">
      <c r="A4" s="11" t="s">
        <v>12</v>
      </c>
      <c r="B4" s="11">
        <v>0.68</v>
      </c>
      <c r="C4" s="11">
        <v>0.9</v>
      </c>
      <c r="D4" s="13">
        <v>18.094285562827682</v>
      </c>
      <c r="E4" s="11">
        <v>1</v>
      </c>
      <c r="F4" s="11">
        <v>0</v>
      </c>
      <c r="H4" s="11" t="s">
        <v>12</v>
      </c>
      <c r="I4" s="11">
        <v>0.68</v>
      </c>
      <c r="J4" s="11">
        <v>0.8</v>
      </c>
      <c r="K4" s="13">
        <v>18.094285562827682</v>
      </c>
      <c r="L4" s="11">
        <v>1</v>
      </c>
      <c r="M4" s="11">
        <v>0</v>
      </c>
      <c r="O4" s="11" t="s">
        <v>12</v>
      </c>
      <c r="P4" s="11">
        <v>0.68</v>
      </c>
      <c r="Q4" s="11">
        <v>0.6</v>
      </c>
      <c r="R4" s="13">
        <v>18.094285562827682</v>
      </c>
      <c r="S4" s="11">
        <v>1</v>
      </c>
      <c r="T4" s="11">
        <v>0</v>
      </c>
      <c r="V4" s="11" t="s">
        <v>12</v>
      </c>
      <c r="W4" s="11">
        <v>0.68</v>
      </c>
      <c r="X4" s="11">
        <v>0.9</v>
      </c>
      <c r="Y4" s="11">
        <v>0.8</v>
      </c>
      <c r="Z4" s="11">
        <v>0.6</v>
      </c>
      <c r="AA4" s="13">
        <v>18.094285562827682</v>
      </c>
      <c r="AB4" s="11">
        <v>1</v>
      </c>
      <c r="AC4" s="11">
        <v>0</v>
      </c>
    </row>
    <row r="5" spans="1:29" x14ac:dyDescent="0.25">
      <c r="A5" s="11" t="s">
        <v>33</v>
      </c>
      <c r="B5" s="11">
        <v>0.35</v>
      </c>
      <c r="C5" s="11">
        <v>0.6</v>
      </c>
      <c r="D5" s="13">
        <v>17.032023593643288</v>
      </c>
      <c r="E5" s="11">
        <v>1</v>
      </c>
      <c r="F5" s="11">
        <v>0</v>
      </c>
      <c r="H5" s="11" t="s">
        <v>33</v>
      </c>
      <c r="I5" s="11">
        <v>0.35</v>
      </c>
      <c r="J5" s="11">
        <v>0.7</v>
      </c>
      <c r="K5" s="13">
        <v>17.032023593643288</v>
      </c>
      <c r="L5" s="11">
        <v>1</v>
      </c>
      <c r="M5" s="11">
        <v>0</v>
      </c>
      <c r="O5" s="11" t="s">
        <v>33</v>
      </c>
      <c r="P5" s="11">
        <v>0.35</v>
      </c>
      <c r="Q5" s="11">
        <v>0.7</v>
      </c>
      <c r="R5" s="13">
        <v>17.032023593643288</v>
      </c>
      <c r="S5" s="11">
        <v>1</v>
      </c>
      <c r="T5" s="11">
        <v>0</v>
      </c>
      <c r="V5" s="11" t="s">
        <v>33</v>
      </c>
      <c r="W5" s="11">
        <v>0.35</v>
      </c>
      <c r="X5" s="11">
        <v>0.6</v>
      </c>
      <c r="Y5" s="11">
        <v>0.7</v>
      </c>
      <c r="Z5" s="11">
        <v>0.7</v>
      </c>
      <c r="AA5" s="13">
        <v>17.032023593643288</v>
      </c>
      <c r="AB5" s="11">
        <v>1</v>
      </c>
      <c r="AC5" s="11">
        <v>0</v>
      </c>
    </row>
    <row r="6" spans="1:29" x14ac:dyDescent="0.25">
      <c r="A6" s="11" t="s">
        <v>19</v>
      </c>
      <c r="B6" s="11">
        <v>0.86</v>
      </c>
      <c r="C6" s="11">
        <v>0.7</v>
      </c>
      <c r="D6" s="13">
        <v>20.298253904341742</v>
      </c>
      <c r="E6" s="11">
        <v>0</v>
      </c>
      <c r="F6" s="11">
        <v>1</v>
      </c>
      <c r="H6" s="11" t="s">
        <v>19</v>
      </c>
      <c r="I6" s="11">
        <v>0.86</v>
      </c>
      <c r="J6" s="11">
        <v>0.7</v>
      </c>
      <c r="K6" s="13">
        <v>20.298253904341742</v>
      </c>
      <c r="L6" s="11">
        <v>0</v>
      </c>
      <c r="M6" s="11">
        <v>1</v>
      </c>
      <c r="O6" s="11" t="s">
        <v>19</v>
      </c>
      <c r="P6" s="11">
        <v>0.86</v>
      </c>
      <c r="Q6" s="11">
        <v>0.9</v>
      </c>
      <c r="R6" s="13">
        <v>20.298253904341742</v>
      </c>
      <c r="S6" s="11">
        <v>0</v>
      </c>
      <c r="T6" s="11">
        <v>1</v>
      </c>
      <c r="V6" s="11" t="s">
        <v>19</v>
      </c>
      <c r="W6" s="11">
        <v>0.86</v>
      </c>
      <c r="X6" s="11">
        <v>0.7</v>
      </c>
      <c r="Y6" s="11">
        <v>0.7</v>
      </c>
      <c r="Z6" s="11">
        <v>0.9</v>
      </c>
      <c r="AA6" s="13">
        <v>20.298253904341742</v>
      </c>
      <c r="AB6" s="11">
        <v>0</v>
      </c>
      <c r="AC6" s="11">
        <v>1</v>
      </c>
    </row>
    <row r="7" spans="1:29" x14ac:dyDescent="0.25">
      <c r="A7" s="11" t="s">
        <v>20</v>
      </c>
      <c r="B7" s="11">
        <v>0.56999999999999995</v>
      </c>
      <c r="C7" s="11">
        <v>0.8</v>
      </c>
      <c r="D7" s="13">
        <v>21.718333737575893</v>
      </c>
      <c r="E7" s="11">
        <v>0</v>
      </c>
      <c r="F7" s="11">
        <v>1</v>
      </c>
      <c r="H7" s="11" t="s">
        <v>20</v>
      </c>
      <c r="I7" s="11">
        <v>0.56999999999999995</v>
      </c>
      <c r="J7" s="11">
        <v>0.8</v>
      </c>
      <c r="K7" s="13">
        <v>21.718333737575893</v>
      </c>
      <c r="L7" s="11">
        <v>0</v>
      </c>
      <c r="M7" s="11">
        <v>1</v>
      </c>
      <c r="O7" s="11" t="s">
        <v>20</v>
      </c>
      <c r="P7" s="11">
        <v>0.56999999999999995</v>
      </c>
      <c r="Q7" s="11">
        <v>0.8</v>
      </c>
      <c r="R7" s="13">
        <v>21.718333737575893</v>
      </c>
      <c r="S7" s="11">
        <v>0</v>
      </c>
      <c r="T7" s="11">
        <v>1</v>
      </c>
      <c r="V7" s="11" t="s">
        <v>20</v>
      </c>
      <c r="W7" s="11">
        <v>0.56999999999999995</v>
      </c>
      <c r="X7" s="11">
        <v>0.8</v>
      </c>
      <c r="Y7" s="11">
        <v>0.8</v>
      </c>
      <c r="Z7" s="11">
        <v>0.8</v>
      </c>
      <c r="AA7" s="13">
        <v>21.718333737575893</v>
      </c>
      <c r="AB7" s="11">
        <v>0</v>
      </c>
      <c r="AC7" s="11">
        <v>1</v>
      </c>
    </row>
    <row r="8" spans="1:29" x14ac:dyDescent="0.25">
      <c r="A8" s="11" t="s">
        <v>40</v>
      </c>
      <c r="B8" s="11">
        <v>0.88</v>
      </c>
      <c r="C8" s="11">
        <v>0.7</v>
      </c>
      <c r="D8" s="13">
        <v>17.959977729589585</v>
      </c>
      <c r="E8" s="11">
        <v>1</v>
      </c>
      <c r="F8" s="11">
        <v>1</v>
      </c>
      <c r="H8" s="11" t="s">
        <v>40</v>
      </c>
      <c r="I8" s="11">
        <v>0.88</v>
      </c>
      <c r="J8" s="11">
        <v>0.8</v>
      </c>
      <c r="K8" s="13">
        <v>17.959977729589585</v>
      </c>
      <c r="L8" s="11">
        <v>1</v>
      </c>
      <c r="M8" s="11">
        <v>1</v>
      </c>
      <c r="O8" s="11" t="s">
        <v>40</v>
      </c>
      <c r="P8" s="11">
        <v>0.88</v>
      </c>
      <c r="Q8" s="11">
        <v>0.4</v>
      </c>
      <c r="R8" s="13">
        <v>17.959977729589585</v>
      </c>
      <c r="S8" s="11">
        <v>1</v>
      </c>
      <c r="T8" s="11">
        <v>1</v>
      </c>
      <c r="V8" s="11" t="s">
        <v>40</v>
      </c>
      <c r="W8" s="11">
        <v>0.88</v>
      </c>
      <c r="X8" s="11">
        <v>0.7</v>
      </c>
      <c r="Y8" s="11">
        <v>0.8</v>
      </c>
      <c r="Z8" s="11">
        <v>0.4</v>
      </c>
      <c r="AA8" s="13">
        <v>17.959977729589585</v>
      </c>
      <c r="AB8" s="11">
        <v>1</v>
      </c>
      <c r="AC8" s="11">
        <v>1</v>
      </c>
    </row>
    <row r="9" spans="1:29" x14ac:dyDescent="0.25">
      <c r="A9" s="11" t="s">
        <v>34</v>
      </c>
      <c r="B9" s="11">
        <v>0.82</v>
      </c>
      <c r="C9" s="11">
        <v>0.8</v>
      </c>
      <c r="D9" s="13">
        <v>17.060443917151765</v>
      </c>
      <c r="E9" s="11">
        <v>0</v>
      </c>
      <c r="F9" s="11">
        <v>1</v>
      </c>
      <c r="H9" s="11" t="s">
        <v>34</v>
      </c>
      <c r="I9" s="11">
        <v>0.82</v>
      </c>
      <c r="J9" s="11">
        <v>0.8</v>
      </c>
      <c r="K9" s="13">
        <v>17.060443917151765</v>
      </c>
      <c r="L9" s="11">
        <v>0</v>
      </c>
      <c r="M9" s="11">
        <v>1</v>
      </c>
      <c r="O9" s="11" t="s">
        <v>34</v>
      </c>
      <c r="P9" s="11">
        <v>0.82</v>
      </c>
      <c r="Q9" s="11">
        <v>0.4</v>
      </c>
      <c r="R9" s="13">
        <v>17.060443917151765</v>
      </c>
      <c r="S9" s="11">
        <v>0</v>
      </c>
      <c r="T9" s="11">
        <v>1</v>
      </c>
      <c r="V9" s="11" t="s">
        <v>34</v>
      </c>
      <c r="W9" s="11">
        <v>0.82</v>
      </c>
      <c r="X9" s="11">
        <v>0.8</v>
      </c>
      <c r="Y9" s="11">
        <v>0.8</v>
      </c>
      <c r="Z9" s="11">
        <v>0.4</v>
      </c>
      <c r="AA9" s="13">
        <v>17.060443917151765</v>
      </c>
      <c r="AB9" s="11">
        <v>0</v>
      </c>
      <c r="AC9" s="11">
        <v>1</v>
      </c>
    </row>
    <row r="10" spans="1:29" x14ac:dyDescent="0.25">
      <c r="A10" s="11" t="s">
        <v>45</v>
      </c>
      <c r="B10" s="11">
        <v>0.99</v>
      </c>
      <c r="C10" s="11">
        <v>0.8</v>
      </c>
      <c r="D10" s="13">
        <v>17.864910054143206</v>
      </c>
      <c r="E10" s="11">
        <v>0</v>
      </c>
      <c r="F10" s="11">
        <v>1</v>
      </c>
      <c r="H10" s="11" t="s">
        <v>45</v>
      </c>
      <c r="I10" s="11">
        <v>0.99</v>
      </c>
      <c r="J10" s="11">
        <v>0.8</v>
      </c>
      <c r="K10" s="13">
        <v>17.864910054143206</v>
      </c>
      <c r="L10" s="11">
        <v>0</v>
      </c>
      <c r="M10" s="11">
        <v>1</v>
      </c>
      <c r="O10" s="11" t="s">
        <v>45</v>
      </c>
      <c r="P10" s="11">
        <v>0.99</v>
      </c>
      <c r="Q10" s="11">
        <v>0.6</v>
      </c>
      <c r="R10" s="13">
        <v>17.864910054143206</v>
      </c>
      <c r="S10" s="11">
        <v>0</v>
      </c>
      <c r="T10" s="11">
        <v>1</v>
      </c>
      <c r="V10" s="11" t="s">
        <v>45</v>
      </c>
      <c r="W10" s="11">
        <v>0.99</v>
      </c>
      <c r="X10" s="11">
        <v>0.8</v>
      </c>
      <c r="Y10" s="11">
        <v>0.8</v>
      </c>
      <c r="Z10" s="11">
        <v>0.6</v>
      </c>
      <c r="AA10" s="13">
        <v>17.864910054143206</v>
      </c>
      <c r="AB10" s="11">
        <v>0</v>
      </c>
      <c r="AC10" s="11">
        <v>1</v>
      </c>
    </row>
    <row r="11" spans="1:29" x14ac:dyDescent="0.25">
      <c r="A11" s="11" t="s">
        <v>27</v>
      </c>
      <c r="B11" s="11">
        <v>0.52</v>
      </c>
      <c r="C11" s="11">
        <v>0.9</v>
      </c>
      <c r="D11" s="13">
        <v>17.9380861805272</v>
      </c>
      <c r="E11" s="11">
        <v>1</v>
      </c>
      <c r="F11" s="11">
        <v>0</v>
      </c>
      <c r="H11" s="11" t="s">
        <v>27</v>
      </c>
      <c r="I11" s="11">
        <v>0.52</v>
      </c>
      <c r="J11" s="11">
        <v>0.8</v>
      </c>
      <c r="K11" s="13">
        <v>17.9380861805272</v>
      </c>
      <c r="L11" s="11">
        <v>1</v>
      </c>
      <c r="M11" s="11">
        <v>0</v>
      </c>
      <c r="O11" s="11" t="s">
        <v>27</v>
      </c>
      <c r="P11" s="11">
        <v>0.52</v>
      </c>
      <c r="Q11" s="11">
        <v>0.8</v>
      </c>
      <c r="R11" s="13">
        <v>17.9380861805272</v>
      </c>
      <c r="S11" s="11">
        <v>1</v>
      </c>
      <c r="T11" s="11">
        <v>0</v>
      </c>
      <c r="V11" s="11" t="s">
        <v>27</v>
      </c>
      <c r="W11" s="11">
        <v>0.52</v>
      </c>
      <c r="X11" s="11">
        <v>0.9</v>
      </c>
      <c r="Y11" s="11">
        <v>0.8</v>
      </c>
      <c r="Z11" s="11">
        <v>0.8</v>
      </c>
      <c r="AA11" s="13">
        <v>17.9380861805272</v>
      </c>
      <c r="AB11" s="11">
        <v>1</v>
      </c>
      <c r="AC11" s="11">
        <v>0</v>
      </c>
    </row>
    <row r="12" spans="1:29" x14ac:dyDescent="0.25">
      <c r="A12" s="11" t="s">
        <v>25</v>
      </c>
      <c r="B12" s="11">
        <v>0.56999999999999995</v>
      </c>
      <c r="C12" s="11">
        <v>0.9</v>
      </c>
      <c r="D12" s="13">
        <v>21.560418984732397</v>
      </c>
      <c r="E12" s="11">
        <v>0</v>
      </c>
      <c r="F12" s="11">
        <v>1</v>
      </c>
      <c r="H12" s="11" t="s">
        <v>25</v>
      </c>
      <c r="I12" s="11">
        <v>0.56999999999999995</v>
      </c>
      <c r="J12" s="11">
        <v>0.6</v>
      </c>
      <c r="K12" s="13">
        <v>21.560418984732397</v>
      </c>
      <c r="L12" s="11">
        <v>0</v>
      </c>
      <c r="M12" s="11">
        <v>1</v>
      </c>
      <c r="O12" s="11" t="s">
        <v>25</v>
      </c>
      <c r="P12" s="11">
        <v>0.56999999999999995</v>
      </c>
      <c r="Q12" s="11">
        <v>0.5</v>
      </c>
      <c r="R12" s="13">
        <v>21.560418984732397</v>
      </c>
      <c r="S12" s="11">
        <v>0</v>
      </c>
      <c r="T12" s="11">
        <v>1</v>
      </c>
      <c r="V12" s="11" t="s">
        <v>25</v>
      </c>
      <c r="W12" s="11">
        <v>0.56999999999999995</v>
      </c>
      <c r="X12" s="11">
        <v>0.9</v>
      </c>
      <c r="Y12" s="11">
        <v>0.6</v>
      </c>
      <c r="Z12" s="11">
        <v>0.5</v>
      </c>
      <c r="AA12" s="13">
        <v>21.560418984732397</v>
      </c>
      <c r="AB12" s="11">
        <v>0</v>
      </c>
      <c r="AC12" s="11">
        <v>1</v>
      </c>
    </row>
    <row r="13" spans="1:29" x14ac:dyDescent="0.25">
      <c r="A13" s="11" t="s">
        <v>24</v>
      </c>
      <c r="B13" s="11">
        <v>0.82</v>
      </c>
      <c r="C13" s="11">
        <v>0.9</v>
      </c>
      <c r="D13" s="13">
        <v>17.628640974416069</v>
      </c>
      <c r="E13" s="11">
        <v>1</v>
      </c>
      <c r="F13" s="11">
        <v>0</v>
      </c>
      <c r="H13" s="11" t="s">
        <v>24</v>
      </c>
      <c r="I13" s="11">
        <v>0.82</v>
      </c>
      <c r="J13" s="11">
        <v>0.9</v>
      </c>
      <c r="K13" s="13">
        <v>17.628640974416069</v>
      </c>
      <c r="L13" s="11">
        <v>1</v>
      </c>
      <c r="M13" s="11">
        <v>0</v>
      </c>
      <c r="O13" s="11" t="s">
        <v>24</v>
      </c>
      <c r="P13" s="11">
        <v>0.82</v>
      </c>
      <c r="Q13" s="11">
        <v>0.8</v>
      </c>
      <c r="R13" s="13">
        <v>17.628640974416069</v>
      </c>
      <c r="S13" s="11">
        <v>1</v>
      </c>
      <c r="T13" s="11">
        <v>0</v>
      </c>
      <c r="V13" s="11" t="s">
        <v>24</v>
      </c>
      <c r="W13" s="11">
        <v>0.82</v>
      </c>
      <c r="X13" s="11">
        <v>0.9</v>
      </c>
      <c r="Y13" s="11">
        <v>0.9</v>
      </c>
      <c r="Z13" s="11">
        <v>0.8</v>
      </c>
      <c r="AA13" s="13">
        <v>17.628640974416069</v>
      </c>
      <c r="AB13" s="11">
        <v>1</v>
      </c>
      <c r="AC13" s="11">
        <v>0</v>
      </c>
    </row>
    <row r="14" spans="1:29" x14ac:dyDescent="0.25">
      <c r="A14" s="11" t="s">
        <v>31</v>
      </c>
      <c r="B14" s="11">
        <v>0.66</v>
      </c>
      <c r="C14" s="11">
        <v>0.8</v>
      </c>
      <c r="D14" s="13">
        <v>16.559307496228779</v>
      </c>
      <c r="E14" s="11">
        <v>0</v>
      </c>
      <c r="F14" s="11">
        <v>1</v>
      </c>
      <c r="H14" s="11" t="s">
        <v>31</v>
      </c>
      <c r="I14" s="11">
        <v>0.66</v>
      </c>
      <c r="J14" s="11">
        <v>0.9</v>
      </c>
      <c r="K14" s="13">
        <v>16.559307496228779</v>
      </c>
      <c r="L14" s="11">
        <v>0</v>
      </c>
      <c r="M14" s="11">
        <v>1</v>
      </c>
      <c r="O14" s="11" t="s">
        <v>31</v>
      </c>
      <c r="P14" s="11">
        <v>0.66</v>
      </c>
      <c r="Q14" s="11">
        <v>0.3</v>
      </c>
      <c r="R14" s="13">
        <v>16.559307496228779</v>
      </c>
      <c r="S14" s="11">
        <v>0</v>
      </c>
      <c r="T14" s="11">
        <v>1</v>
      </c>
      <c r="V14" s="11" t="s">
        <v>31</v>
      </c>
      <c r="W14" s="11">
        <v>0.66</v>
      </c>
      <c r="X14" s="11">
        <v>0.8</v>
      </c>
      <c r="Y14" s="11">
        <v>0.9</v>
      </c>
      <c r="Z14" s="11">
        <v>0.3</v>
      </c>
      <c r="AA14" s="13">
        <v>16.559307496228779</v>
      </c>
      <c r="AB14" s="11">
        <v>0</v>
      </c>
      <c r="AC14" s="11">
        <v>1</v>
      </c>
    </row>
    <row r="15" spans="1:29" x14ac:dyDescent="0.25">
      <c r="A15" s="11" t="s">
        <v>46</v>
      </c>
      <c r="B15" s="11">
        <v>0.71</v>
      </c>
      <c r="C15" s="11">
        <v>0.7</v>
      </c>
      <c r="D15" s="13">
        <v>16.40071492906764</v>
      </c>
      <c r="E15" s="11">
        <v>0</v>
      </c>
      <c r="F15" s="11">
        <v>1</v>
      </c>
      <c r="H15" s="11" t="s">
        <v>46</v>
      </c>
      <c r="I15" s="11">
        <v>0.71</v>
      </c>
      <c r="J15" s="11">
        <v>0.8</v>
      </c>
      <c r="K15" s="13">
        <v>16.40071492906764</v>
      </c>
      <c r="L15" s="11">
        <v>0</v>
      </c>
      <c r="M15" s="11">
        <v>1</v>
      </c>
      <c r="O15" s="11" t="s">
        <v>46</v>
      </c>
      <c r="P15" s="11">
        <v>0.71</v>
      </c>
      <c r="Q15" s="11">
        <v>0.7</v>
      </c>
      <c r="R15" s="13">
        <v>16.40071492906764</v>
      </c>
      <c r="S15" s="11">
        <v>0</v>
      </c>
      <c r="T15" s="11">
        <v>1</v>
      </c>
      <c r="V15" s="11" t="s">
        <v>46</v>
      </c>
      <c r="W15" s="11">
        <v>0.71</v>
      </c>
      <c r="X15" s="11">
        <v>0.7</v>
      </c>
      <c r="Y15" s="11">
        <v>0.8</v>
      </c>
      <c r="Z15" s="11">
        <v>0.7</v>
      </c>
      <c r="AA15" s="13">
        <v>16.40071492906764</v>
      </c>
      <c r="AB15" s="11">
        <v>0</v>
      </c>
      <c r="AC15" s="11">
        <v>1</v>
      </c>
    </row>
    <row r="16" spans="1:29" x14ac:dyDescent="0.25">
      <c r="A16" s="11" t="s">
        <v>22</v>
      </c>
      <c r="B16" s="11">
        <v>0.88</v>
      </c>
      <c r="C16" s="11">
        <v>0.7</v>
      </c>
      <c r="D16" s="13">
        <v>19.06013174550845</v>
      </c>
      <c r="E16" s="11">
        <v>1</v>
      </c>
      <c r="F16" s="11">
        <v>1</v>
      </c>
      <c r="H16" s="11" t="s">
        <v>22</v>
      </c>
      <c r="I16" s="11">
        <v>0.88</v>
      </c>
      <c r="J16" s="11">
        <v>0.8</v>
      </c>
      <c r="K16" s="13">
        <v>19.06013174550845</v>
      </c>
      <c r="L16" s="11">
        <v>1</v>
      </c>
      <c r="M16" s="11">
        <v>1</v>
      </c>
      <c r="O16" s="11" t="s">
        <v>22</v>
      </c>
      <c r="P16" s="11">
        <v>0.88</v>
      </c>
      <c r="Q16" s="11">
        <v>0.6</v>
      </c>
      <c r="R16" s="13">
        <v>19.06013174550845</v>
      </c>
      <c r="S16" s="11">
        <v>1</v>
      </c>
      <c r="T16" s="11">
        <v>1</v>
      </c>
      <c r="V16" s="11" t="s">
        <v>22</v>
      </c>
      <c r="W16" s="11">
        <v>0.88</v>
      </c>
      <c r="X16" s="11">
        <v>0.7</v>
      </c>
      <c r="Y16" s="11">
        <v>0.8</v>
      </c>
      <c r="Z16" s="11">
        <v>0.6</v>
      </c>
      <c r="AA16" s="13">
        <v>19.06013174550845</v>
      </c>
      <c r="AB16" s="11">
        <v>1</v>
      </c>
      <c r="AC16" s="11">
        <v>1</v>
      </c>
    </row>
    <row r="17" spans="1:29" x14ac:dyDescent="0.25">
      <c r="A17" s="11" t="s">
        <v>13</v>
      </c>
      <c r="B17" s="11">
        <v>0.97</v>
      </c>
      <c r="C17" s="11">
        <v>0.6</v>
      </c>
      <c r="D17" s="13">
        <v>17.978510156835785</v>
      </c>
      <c r="E17" s="11">
        <v>1</v>
      </c>
      <c r="F17" s="11">
        <v>0</v>
      </c>
      <c r="H17" s="11" t="s">
        <v>13</v>
      </c>
      <c r="I17" s="11">
        <v>0.97</v>
      </c>
      <c r="J17" s="11">
        <v>0.8</v>
      </c>
      <c r="K17" s="13">
        <v>17.978510156835785</v>
      </c>
      <c r="L17" s="11">
        <v>1</v>
      </c>
      <c r="M17" s="11">
        <v>0</v>
      </c>
      <c r="O17" s="11" t="s">
        <v>13</v>
      </c>
      <c r="P17" s="11">
        <v>0.97</v>
      </c>
      <c r="Q17" s="11">
        <v>0.5</v>
      </c>
      <c r="R17" s="13">
        <v>17.978510156835785</v>
      </c>
      <c r="S17" s="11">
        <v>1</v>
      </c>
      <c r="T17" s="11">
        <v>0</v>
      </c>
      <c r="V17" s="11" t="s">
        <v>13</v>
      </c>
      <c r="W17" s="11">
        <v>0.97</v>
      </c>
      <c r="X17" s="11">
        <v>0.6</v>
      </c>
      <c r="Y17" s="11">
        <v>0.8</v>
      </c>
      <c r="Z17" s="11">
        <v>0.5</v>
      </c>
      <c r="AA17" s="13">
        <v>17.978510156835785</v>
      </c>
      <c r="AB17" s="11">
        <v>1</v>
      </c>
      <c r="AC17" s="11">
        <v>0</v>
      </c>
    </row>
    <row r="18" spans="1:29" x14ac:dyDescent="0.25">
      <c r="A18" s="11" t="s">
        <v>43</v>
      </c>
      <c r="B18" s="11">
        <v>0.44</v>
      </c>
      <c r="C18" s="11">
        <v>0.6</v>
      </c>
      <c r="D18" s="13">
        <v>16.2032085603315</v>
      </c>
      <c r="E18" s="11">
        <v>0</v>
      </c>
      <c r="F18" s="11">
        <v>1</v>
      </c>
      <c r="H18" s="11" t="s">
        <v>43</v>
      </c>
      <c r="I18" s="11">
        <v>0.44</v>
      </c>
      <c r="J18" s="11">
        <v>0.7</v>
      </c>
      <c r="K18" s="13">
        <v>16.2032085603315</v>
      </c>
      <c r="L18" s="11">
        <v>0</v>
      </c>
      <c r="M18" s="11">
        <v>1</v>
      </c>
      <c r="O18" s="11" t="s">
        <v>43</v>
      </c>
      <c r="P18" s="11">
        <v>0.44</v>
      </c>
      <c r="Q18" s="11">
        <v>0.7</v>
      </c>
      <c r="R18" s="13">
        <v>16.2032085603315</v>
      </c>
      <c r="S18" s="11">
        <v>0</v>
      </c>
      <c r="T18" s="11">
        <v>1</v>
      </c>
      <c r="V18" s="11" t="s">
        <v>43</v>
      </c>
      <c r="W18" s="11">
        <v>0.44</v>
      </c>
      <c r="X18" s="11">
        <v>0.6</v>
      </c>
      <c r="Y18" s="11">
        <v>0.7</v>
      </c>
      <c r="Z18" s="11">
        <v>0.7</v>
      </c>
      <c r="AA18" s="13">
        <v>16.2032085603315</v>
      </c>
      <c r="AB18" s="11">
        <v>0</v>
      </c>
      <c r="AC18" s="11">
        <v>1</v>
      </c>
    </row>
    <row r="19" spans="1:29" x14ac:dyDescent="0.25">
      <c r="A19" s="11" t="s">
        <v>10</v>
      </c>
      <c r="B19" s="11">
        <v>0.64</v>
      </c>
      <c r="C19" s="11">
        <v>0.7</v>
      </c>
      <c r="D19" s="13">
        <v>16.954650294812993</v>
      </c>
      <c r="E19" s="11">
        <v>1</v>
      </c>
      <c r="F19" s="11">
        <v>1</v>
      </c>
      <c r="H19" s="11" t="s">
        <v>10</v>
      </c>
      <c r="I19" s="11">
        <v>0.64</v>
      </c>
      <c r="J19" s="11">
        <v>0.6</v>
      </c>
      <c r="K19" s="13">
        <v>16.954650294812993</v>
      </c>
      <c r="L19" s="11">
        <v>1</v>
      </c>
      <c r="M19" s="11">
        <v>1</v>
      </c>
      <c r="O19" s="11" t="s">
        <v>10</v>
      </c>
      <c r="P19" s="11">
        <v>0.64</v>
      </c>
      <c r="Q19" s="11">
        <v>0.3</v>
      </c>
      <c r="R19" s="13">
        <v>16.954650294812993</v>
      </c>
      <c r="S19" s="11">
        <v>1</v>
      </c>
      <c r="T19" s="11">
        <v>1</v>
      </c>
      <c r="V19" s="11" t="s">
        <v>10</v>
      </c>
      <c r="W19" s="11">
        <v>0.64</v>
      </c>
      <c r="X19" s="11">
        <v>0.7</v>
      </c>
      <c r="Y19" s="11">
        <v>0.6</v>
      </c>
      <c r="Z19" s="11">
        <v>0.3</v>
      </c>
      <c r="AA19" s="13">
        <v>16.954650294812993</v>
      </c>
      <c r="AB19" s="11">
        <v>1</v>
      </c>
      <c r="AC19" s="11">
        <v>1</v>
      </c>
    </row>
    <row r="20" spans="1:29" x14ac:dyDescent="0.25">
      <c r="A20" s="11" t="s">
        <v>29</v>
      </c>
      <c r="B20" s="11">
        <v>0.92</v>
      </c>
      <c r="C20" s="11">
        <v>0.9</v>
      </c>
      <c r="D20" s="13">
        <v>17.584724984730485</v>
      </c>
      <c r="E20" s="11">
        <v>1</v>
      </c>
      <c r="F20" s="11">
        <v>1</v>
      </c>
      <c r="H20" s="11" t="s">
        <v>29</v>
      </c>
      <c r="I20" s="11">
        <v>0.92</v>
      </c>
      <c r="J20" s="11">
        <v>0.9</v>
      </c>
      <c r="K20" s="13">
        <v>17.584724984730485</v>
      </c>
      <c r="L20" s="11">
        <v>1</v>
      </c>
      <c r="M20" s="11">
        <v>1</v>
      </c>
      <c r="O20" s="11" t="s">
        <v>29</v>
      </c>
      <c r="P20" s="11">
        <v>0.92</v>
      </c>
      <c r="Q20" s="11">
        <v>0.5</v>
      </c>
      <c r="R20" s="13">
        <v>17.584724984730485</v>
      </c>
      <c r="S20" s="11">
        <v>1</v>
      </c>
      <c r="T20" s="11">
        <v>1</v>
      </c>
      <c r="V20" s="11" t="s">
        <v>29</v>
      </c>
      <c r="W20" s="11">
        <v>0.92</v>
      </c>
      <c r="X20" s="11">
        <v>0.9</v>
      </c>
      <c r="Y20" s="11">
        <v>0.9</v>
      </c>
      <c r="Z20" s="11">
        <v>0.5</v>
      </c>
      <c r="AA20" s="13">
        <v>17.584724984730485</v>
      </c>
      <c r="AB20" s="11">
        <v>1</v>
      </c>
      <c r="AC20" s="11">
        <v>1</v>
      </c>
    </row>
    <row r="21" spans="1:29" x14ac:dyDescent="0.25">
      <c r="A21" s="11" t="s">
        <v>28</v>
      </c>
      <c r="B21" s="11">
        <v>0.9</v>
      </c>
      <c r="C21" s="11">
        <v>0.9</v>
      </c>
      <c r="D21" s="13">
        <v>16.592775828087959</v>
      </c>
      <c r="E21" s="11">
        <v>1</v>
      </c>
      <c r="F21" s="11">
        <v>0</v>
      </c>
      <c r="H21" s="11" t="s">
        <v>28</v>
      </c>
      <c r="I21" s="11">
        <v>0.9</v>
      </c>
      <c r="J21" s="11">
        <v>0.8</v>
      </c>
      <c r="K21" s="13">
        <v>16.592775828087959</v>
      </c>
      <c r="L21" s="11">
        <v>1</v>
      </c>
      <c r="M21" s="11">
        <v>0</v>
      </c>
      <c r="O21" s="11" t="s">
        <v>28</v>
      </c>
      <c r="P21" s="11">
        <v>0.9</v>
      </c>
      <c r="Q21" s="11">
        <v>0.8</v>
      </c>
      <c r="R21" s="13">
        <v>16.592775828087959</v>
      </c>
      <c r="S21" s="11">
        <v>1</v>
      </c>
      <c r="T21" s="11">
        <v>0</v>
      </c>
      <c r="V21" s="11" t="s">
        <v>28</v>
      </c>
      <c r="W21" s="11">
        <v>0.9</v>
      </c>
      <c r="X21" s="11">
        <v>0.9</v>
      </c>
      <c r="Y21" s="11">
        <v>0.8</v>
      </c>
      <c r="Z21" s="11">
        <v>0.8</v>
      </c>
      <c r="AA21" s="13">
        <v>16.592775828087959</v>
      </c>
      <c r="AB21" s="11">
        <v>1</v>
      </c>
      <c r="AC21" s="11">
        <v>0</v>
      </c>
    </row>
    <row r="22" spans="1:29" x14ac:dyDescent="0.25">
      <c r="A22" s="11" t="s">
        <v>11</v>
      </c>
      <c r="B22" s="11">
        <v>0.98</v>
      </c>
      <c r="C22" s="11">
        <v>0.7</v>
      </c>
      <c r="D22" s="13">
        <v>17.847153133808195</v>
      </c>
      <c r="E22" s="11">
        <v>1</v>
      </c>
      <c r="F22" s="11">
        <v>0</v>
      </c>
      <c r="H22" s="11" t="s">
        <v>11</v>
      </c>
      <c r="I22" s="11">
        <v>0.98</v>
      </c>
      <c r="J22" s="11">
        <v>0.9</v>
      </c>
      <c r="K22" s="13">
        <v>17.847153133808195</v>
      </c>
      <c r="L22" s="11">
        <v>1</v>
      </c>
      <c r="M22" s="11">
        <v>0</v>
      </c>
      <c r="O22" s="11" t="s">
        <v>11</v>
      </c>
      <c r="P22" s="11">
        <v>0.98</v>
      </c>
      <c r="Q22" s="11">
        <v>0.8</v>
      </c>
      <c r="R22" s="13">
        <v>17.847153133808195</v>
      </c>
      <c r="S22" s="11">
        <v>1</v>
      </c>
      <c r="T22" s="11">
        <v>0</v>
      </c>
      <c r="V22" s="11" t="s">
        <v>11</v>
      </c>
      <c r="W22" s="11">
        <v>0.98</v>
      </c>
      <c r="X22" s="11">
        <v>0.7</v>
      </c>
      <c r="Y22" s="11">
        <v>0.9</v>
      </c>
      <c r="Z22" s="11">
        <v>0.8</v>
      </c>
      <c r="AA22" s="13">
        <v>17.847153133808195</v>
      </c>
      <c r="AB22" s="11">
        <v>1</v>
      </c>
      <c r="AC22" s="11">
        <v>0</v>
      </c>
    </row>
    <row r="23" spans="1:29" x14ac:dyDescent="0.25">
      <c r="A23" s="11" t="s">
        <v>5</v>
      </c>
      <c r="B23" s="11">
        <v>0.95</v>
      </c>
      <c r="C23" s="11">
        <v>0.9</v>
      </c>
      <c r="D23" s="13">
        <v>18.820731219359033</v>
      </c>
      <c r="E23" s="11">
        <v>1</v>
      </c>
      <c r="F23" s="11">
        <v>1</v>
      </c>
      <c r="H23" s="11" t="s">
        <v>5</v>
      </c>
      <c r="I23" s="11">
        <v>0.95</v>
      </c>
      <c r="J23" s="11">
        <v>0.9</v>
      </c>
      <c r="K23" s="13">
        <v>18.820731219359033</v>
      </c>
      <c r="L23" s="11">
        <v>1</v>
      </c>
      <c r="M23" s="11">
        <v>1</v>
      </c>
      <c r="O23" s="11" t="s">
        <v>5</v>
      </c>
      <c r="P23" s="11">
        <v>0.95</v>
      </c>
      <c r="Q23" s="11">
        <v>0.5</v>
      </c>
      <c r="R23" s="13">
        <v>18.820731219359033</v>
      </c>
      <c r="S23" s="11">
        <v>1</v>
      </c>
      <c r="T23" s="11">
        <v>1</v>
      </c>
      <c r="V23" s="11" t="s">
        <v>5</v>
      </c>
      <c r="W23" s="11">
        <v>0.95</v>
      </c>
      <c r="X23" s="11">
        <v>0.9</v>
      </c>
      <c r="Y23" s="11">
        <v>0.9</v>
      </c>
      <c r="Z23" s="11">
        <v>0.5</v>
      </c>
      <c r="AA23" s="13">
        <v>18.820731219359033</v>
      </c>
      <c r="AB23" s="11">
        <v>1</v>
      </c>
      <c r="AC23" s="11">
        <v>1</v>
      </c>
    </row>
    <row r="24" spans="1:29" x14ac:dyDescent="0.25">
      <c r="A24" s="11" t="s">
        <v>38</v>
      </c>
      <c r="B24" s="11">
        <v>0.91</v>
      </c>
      <c r="C24" s="11">
        <v>0.7</v>
      </c>
      <c r="D24" s="13">
        <v>17.435897015632911</v>
      </c>
      <c r="E24" s="11">
        <v>1</v>
      </c>
      <c r="F24" s="11">
        <v>0</v>
      </c>
      <c r="H24" s="11" t="s">
        <v>38</v>
      </c>
      <c r="I24" s="11">
        <v>0.91</v>
      </c>
      <c r="J24" s="11">
        <v>0.9</v>
      </c>
      <c r="K24" s="13">
        <v>17.435897015632911</v>
      </c>
      <c r="L24" s="11">
        <v>1</v>
      </c>
      <c r="M24" s="11">
        <v>0</v>
      </c>
      <c r="O24" s="11" t="s">
        <v>38</v>
      </c>
      <c r="P24" s="11">
        <v>0.91</v>
      </c>
      <c r="Q24" s="11">
        <v>0.8</v>
      </c>
      <c r="R24" s="13">
        <v>17.435897015632911</v>
      </c>
      <c r="S24" s="11">
        <v>1</v>
      </c>
      <c r="T24" s="11">
        <v>0</v>
      </c>
      <c r="V24" s="11" t="s">
        <v>38</v>
      </c>
      <c r="W24" s="11">
        <v>0.91</v>
      </c>
      <c r="X24" s="11">
        <v>0.7</v>
      </c>
      <c r="Y24" s="11">
        <v>0.9</v>
      </c>
      <c r="Z24" s="11">
        <v>0.8</v>
      </c>
      <c r="AA24" s="13">
        <v>17.435897015632911</v>
      </c>
      <c r="AB24" s="11">
        <v>1</v>
      </c>
      <c r="AC24" s="11">
        <v>0</v>
      </c>
    </row>
    <row r="25" spans="1:29" x14ac:dyDescent="0.25">
      <c r="A25" s="11" t="s">
        <v>30</v>
      </c>
      <c r="B25" s="11">
        <v>0.9</v>
      </c>
      <c r="C25" s="11">
        <v>0.7</v>
      </c>
      <c r="D25" s="13">
        <v>18.458689184138073</v>
      </c>
      <c r="E25" s="11">
        <v>0</v>
      </c>
      <c r="F25" s="11">
        <v>1</v>
      </c>
      <c r="H25" s="11" t="s">
        <v>30</v>
      </c>
      <c r="I25" s="11">
        <v>0.9</v>
      </c>
      <c r="J25" s="11">
        <v>0.8</v>
      </c>
      <c r="K25" s="13">
        <v>18.458689184138073</v>
      </c>
      <c r="L25" s="11">
        <v>0</v>
      </c>
      <c r="M25" s="11">
        <v>1</v>
      </c>
      <c r="O25" s="11" t="s">
        <v>30</v>
      </c>
      <c r="P25" s="11">
        <v>0.9</v>
      </c>
      <c r="Q25" s="11">
        <v>0.4</v>
      </c>
      <c r="R25" s="13">
        <v>18.458689184138073</v>
      </c>
      <c r="S25" s="11">
        <v>0</v>
      </c>
      <c r="T25" s="11">
        <v>1</v>
      </c>
      <c r="V25" s="11" t="s">
        <v>30</v>
      </c>
      <c r="W25" s="11">
        <v>0.9</v>
      </c>
      <c r="X25" s="11">
        <v>0.7</v>
      </c>
      <c r="Y25" s="11">
        <v>0.8</v>
      </c>
      <c r="Z25" s="11">
        <v>0.4</v>
      </c>
      <c r="AA25" s="13">
        <v>18.458689184138073</v>
      </c>
      <c r="AB25" s="11">
        <v>0</v>
      </c>
      <c r="AC25" s="11">
        <v>1</v>
      </c>
    </row>
    <row r="26" spans="1:29" x14ac:dyDescent="0.25">
      <c r="A26" s="11" t="s">
        <v>37</v>
      </c>
      <c r="B26" s="11">
        <v>0.83</v>
      </c>
      <c r="C26" s="11">
        <v>0.6</v>
      </c>
      <c r="D26" s="13">
        <v>17.428588298661928</v>
      </c>
      <c r="E26" s="11">
        <v>1</v>
      </c>
      <c r="F26" s="11">
        <v>0</v>
      </c>
      <c r="H26" s="11" t="s">
        <v>37</v>
      </c>
      <c r="I26" s="11">
        <v>0.83</v>
      </c>
      <c r="J26" s="11">
        <v>0.5</v>
      </c>
      <c r="K26" s="13">
        <v>17.428588298661928</v>
      </c>
      <c r="L26" s="11">
        <v>1</v>
      </c>
      <c r="M26" s="11">
        <v>0</v>
      </c>
      <c r="O26" s="11" t="s">
        <v>37</v>
      </c>
      <c r="P26" s="11">
        <v>0.83</v>
      </c>
      <c r="Q26" s="11">
        <v>0.7</v>
      </c>
      <c r="R26" s="13">
        <v>17.428588298661928</v>
      </c>
      <c r="S26" s="11">
        <v>1</v>
      </c>
      <c r="T26" s="11">
        <v>0</v>
      </c>
      <c r="V26" s="11" t="s">
        <v>37</v>
      </c>
      <c r="W26" s="11">
        <v>0.83</v>
      </c>
      <c r="X26" s="11">
        <v>0.6</v>
      </c>
      <c r="Y26" s="11">
        <v>0.5</v>
      </c>
      <c r="Z26" s="11">
        <v>0.7</v>
      </c>
      <c r="AA26" s="13">
        <v>17.428588298661928</v>
      </c>
      <c r="AB26" s="11">
        <v>1</v>
      </c>
      <c r="AC26" s="11">
        <v>0</v>
      </c>
    </row>
    <row r="27" spans="1:29" x14ac:dyDescent="0.25">
      <c r="A27" s="11" t="s">
        <v>35</v>
      </c>
      <c r="B27" s="11">
        <v>0.59</v>
      </c>
      <c r="C27" s="11">
        <v>0.7</v>
      </c>
      <c r="D27" s="13">
        <v>17.500733334574665</v>
      </c>
      <c r="E27" s="11">
        <v>0</v>
      </c>
      <c r="F27" s="11">
        <v>1</v>
      </c>
      <c r="H27" s="11" t="s">
        <v>35</v>
      </c>
      <c r="I27" s="11">
        <v>0.59</v>
      </c>
      <c r="J27" s="11">
        <v>0.8</v>
      </c>
      <c r="K27" s="13">
        <v>17.500733334574665</v>
      </c>
      <c r="L27" s="11">
        <v>0</v>
      </c>
      <c r="M27" s="11">
        <v>1</v>
      </c>
      <c r="O27" s="11" t="s">
        <v>35</v>
      </c>
      <c r="P27" s="11">
        <v>0.59</v>
      </c>
      <c r="Q27" s="11">
        <v>0.6</v>
      </c>
      <c r="R27" s="13">
        <v>17.500733334574665</v>
      </c>
      <c r="S27" s="11">
        <v>0</v>
      </c>
      <c r="T27" s="11">
        <v>1</v>
      </c>
      <c r="V27" s="11" t="s">
        <v>35</v>
      </c>
      <c r="W27" s="11">
        <v>0.59</v>
      </c>
      <c r="X27" s="11">
        <v>0.7</v>
      </c>
      <c r="Y27" s="11">
        <v>0.8</v>
      </c>
      <c r="Z27" s="11">
        <v>0.6</v>
      </c>
      <c r="AA27" s="13">
        <v>17.500733334574665</v>
      </c>
      <c r="AB27" s="11">
        <v>0</v>
      </c>
      <c r="AC27" s="11">
        <v>1</v>
      </c>
    </row>
    <row r="28" spans="1:29" x14ac:dyDescent="0.25">
      <c r="A28" s="11" t="s">
        <v>44</v>
      </c>
      <c r="B28" s="11">
        <v>0.5</v>
      </c>
      <c r="C28" s="11">
        <v>0.9</v>
      </c>
      <c r="D28" s="13">
        <v>18.678156154346745</v>
      </c>
      <c r="E28" s="11">
        <v>1</v>
      </c>
      <c r="F28" s="11">
        <v>0</v>
      </c>
      <c r="H28" s="11" t="s">
        <v>44</v>
      </c>
      <c r="I28" s="11">
        <v>0.5</v>
      </c>
      <c r="J28" s="11">
        <v>0.7</v>
      </c>
      <c r="K28" s="13">
        <v>18.678156154346745</v>
      </c>
      <c r="L28" s="11">
        <v>1</v>
      </c>
      <c r="M28" s="11">
        <v>0</v>
      </c>
      <c r="O28" s="11" t="s">
        <v>44</v>
      </c>
      <c r="P28" s="11">
        <v>0.5</v>
      </c>
      <c r="Q28" s="11">
        <v>0.6</v>
      </c>
      <c r="R28" s="13">
        <v>18.678156154346745</v>
      </c>
      <c r="S28" s="11">
        <v>1</v>
      </c>
      <c r="T28" s="11">
        <v>0</v>
      </c>
      <c r="V28" s="11" t="s">
        <v>44</v>
      </c>
      <c r="W28" s="11">
        <v>0.5</v>
      </c>
      <c r="X28" s="11">
        <v>0.9</v>
      </c>
      <c r="Y28" s="11">
        <v>0.7</v>
      </c>
      <c r="Z28" s="11">
        <v>0.6</v>
      </c>
      <c r="AA28" s="13">
        <v>18.678156154346745</v>
      </c>
      <c r="AB28" s="11">
        <v>1</v>
      </c>
      <c r="AC28" s="11">
        <v>0</v>
      </c>
    </row>
    <row r="29" spans="1:29" x14ac:dyDescent="0.25">
      <c r="A29" s="11" t="s">
        <v>15</v>
      </c>
      <c r="B29" s="11">
        <v>0.47</v>
      </c>
      <c r="C29" s="11">
        <v>0.6</v>
      </c>
      <c r="D29" s="13">
        <v>17.823061901216736</v>
      </c>
      <c r="E29" s="11">
        <v>1</v>
      </c>
      <c r="F29" s="11">
        <v>0</v>
      </c>
      <c r="H29" s="11" t="s">
        <v>15</v>
      </c>
      <c r="I29" s="11">
        <v>0.47</v>
      </c>
      <c r="J29" s="11">
        <v>0.7</v>
      </c>
      <c r="K29" s="13">
        <v>17.823061901216736</v>
      </c>
      <c r="L29" s="11">
        <v>1</v>
      </c>
      <c r="M29" s="11">
        <v>0</v>
      </c>
      <c r="O29" s="11" t="s">
        <v>15</v>
      </c>
      <c r="P29" s="11">
        <v>0.47</v>
      </c>
      <c r="Q29" s="11">
        <v>0.7</v>
      </c>
      <c r="R29" s="13">
        <v>17.823061901216736</v>
      </c>
      <c r="S29" s="11">
        <v>1</v>
      </c>
      <c r="T29" s="11">
        <v>0</v>
      </c>
      <c r="V29" s="11" t="s">
        <v>15</v>
      </c>
      <c r="W29" s="11">
        <v>0.47</v>
      </c>
      <c r="X29" s="11">
        <v>0.6</v>
      </c>
      <c r="Y29" s="11">
        <v>0.7</v>
      </c>
      <c r="Z29" s="11">
        <v>0.7</v>
      </c>
      <c r="AA29" s="13">
        <v>17.823061901216736</v>
      </c>
      <c r="AB29" s="11">
        <v>1</v>
      </c>
      <c r="AC29" s="11">
        <v>0</v>
      </c>
    </row>
    <row r="30" spans="1:29" x14ac:dyDescent="0.25">
      <c r="A30" s="11" t="s">
        <v>17</v>
      </c>
      <c r="B30" s="11">
        <v>1</v>
      </c>
      <c r="C30" s="11">
        <v>0.8</v>
      </c>
      <c r="D30" s="13">
        <v>18.704339734652237</v>
      </c>
      <c r="E30" s="11">
        <v>1</v>
      </c>
      <c r="F30" s="11">
        <v>0</v>
      </c>
      <c r="H30" s="11" t="s">
        <v>17</v>
      </c>
      <c r="I30" s="11">
        <v>1</v>
      </c>
      <c r="J30" s="11">
        <v>0.9</v>
      </c>
      <c r="K30" s="13">
        <v>18.704339734652237</v>
      </c>
      <c r="L30" s="11">
        <v>1</v>
      </c>
      <c r="M30" s="11">
        <v>0</v>
      </c>
      <c r="O30" s="11" t="s">
        <v>17</v>
      </c>
      <c r="P30" s="11">
        <v>1</v>
      </c>
      <c r="Q30" s="11">
        <v>0.7</v>
      </c>
      <c r="R30" s="13">
        <v>18.704339734652237</v>
      </c>
      <c r="S30" s="11">
        <v>1</v>
      </c>
      <c r="T30" s="11">
        <v>0</v>
      </c>
      <c r="V30" s="11" t="s">
        <v>17</v>
      </c>
      <c r="W30" s="11">
        <v>1</v>
      </c>
      <c r="X30" s="11">
        <v>0.8</v>
      </c>
      <c r="Y30" s="11">
        <v>0.9</v>
      </c>
      <c r="Z30" s="11">
        <v>0.7</v>
      </c>
      <c r="AA30" s="13">
        <v>18.704339734652237</v>
      </c>
      <c r="AB30" s="11">
        <v>1</v>
      </c>
      <c r="AC30" s="11">
        <v>0</v>
      </c>
    </row>
    <row r="31" spans="1:29" x14ac:dyDescent="0.25">
      <c r="A31" s="11" t="s">
        <v>14</v>
      </c>
      <c r="B31" s="11">
        <v>0.85</v>
      </c>
      <c r="C31" s="11">
        <v>0.8</v>
      </c>
      <c r="D31" s="13">
        <v>18.00430129047832</v>
      </c>
      <c r="E31" s="11">
        <v>1</v>
      </c>
      <c r="F31" s="11">
        <v>0</v>
      </c>
      <c r="H31" s="11" t="s">
        <v>14</v>
      </c>
      <c r="I31" s="11">
        <v>0.85</v>
      </c>
      <c r="J31" s="11">
        <v>0.9</v>
      </c>
      <c r="K31" s="13">
        <v>18.00430129047832</v>
      </c>
      <c r="L31" s="11">
        <v>1</v>
      </c>
      <c r="M31" s="11">
        <v>0</v>
      </c>
      <c r="O31" s="11" t="s">
        <v>14</v>
      </c>
      <c r="P31" s="11">
        <v>0.85</v>
      </c>
      <c r="Q31" s="11">
        <v>0.8</v>
      </c>
      <c r="R31" s="13">
        <v>18.00430129047832</v>
      </c>
      <c r="S31" s="11">
        <v>1</v>
      </c>
      <c r="T31" s="11">
        <v>0</v>
      </c>
      <c r="V31" s="11" t="s">
        <v>14</v>
      </c>
      <c r="W31" s="11">
        <v>0.85</v>
      </c>
      <c r="X31" s="11">
        <v>0.8</v>
      </c>
      <c r="Y31" s="11">
        <v>0.9</v>
      </c>
      <c r="Z31" s="11">
        <v>0.8</v>
      </c>
      <c r="AA31" s="13">
        <v>18.00430129047832</v>
      </c>
      <c r="AB31" s="11">
        <v>1</v>
      </c>
      <c r="AC31" s="11">
        <v>0</v>
      </c>
    </row>
    <row r="32" spans="1:29" x14ac:dyDescent="0.25">
      <c r="A32" s="11" t="s">
        <v>26</v>
      </c>
      <c r="B32" s="11">
        <v>0.7</v>
      </c>
      <c r="C32" s="11">
        <v>0.9</v>
      </c>
      <c r="D32" s="13">
        <v>21.176596872725199</v>
      </c>
      <c r="E32" s="11">
        <v>0</v>
      </c>
      <c r="F32" s="11">
        <v>1</v>
      </c>
      <c r="H32" s="11" t="s">
        <v>26</v>
      </c>
      <c r="I32" s="11">
        <v>0.7</v>
      </c>
      <c r="J32" s="11">
        <v>0.7</v>
      </c>
      <c r="K32" s="13">
        <v>21.176596872725199</v>
      </c>
      <c r="L32" s="11">
        <v>0</v>
      </c>
      <c r="M32" s="11">
        <v>1</v>
      </c>
      <c r="O32" s="11" t="s">
        <v>26</v>
      </c>
      <c r="P32" s="11">
        <v>0.7</v>
      </c>
      <c r="Q32" s="11">
        <v>0.8</v>
      </c>
      <c r="R32" s="13">
        <v>21.176596872725199</v>
      </c>
      <c r="S32" s="11">
        <v>0</v>
      </c>
      <c r="T32" s="11">
        <v>1</v>
      </c>
      <c r="V32" s="11" t="s">
        <v>26</v>
      </c>
      <c r="W32" s="11">
        <v>0.7</v>
      </c>
      <c r="X32" s="11">
        <v>0.9</v>
      </c>
      <c r="Y32" s="11">
        <v>0.7</v>
      </c>
      <c r="Z32" s="11">
        <v>0.8</v>
      </c>
      <c r="AA32" s="13">
        <v>21.176596872725199</v>
      </c>
      <c r="AB32" s="11">
        <v>0</v>
      </c>
      <c r="AC32" s="11">
        <v>1</v>
      </c>
    </row>
    <row r="33" spans="1:29" x14ac:dyDescent="0.25">
      <c r="A33" s="11" t="s">
        <v>32</v>
      </c>
      <c r="B33" s="11">
        <v>0.5</v>
      </c>
      <c r="C33" s="11">
        <v>0.9</v>
      </c>
      <c r="D33" s="13">
        <v>19.151157427377335</v>
      </c>
      <c r="E33" s="11">
        <v>1</v>
      </c>
      <c r="F33" s="11">
        <v>0</v>
      </c>
      <c r="H33" s="11" t="s">
        <v>32</v>
      </c>
      <c r="I33" s="11">
        <v>0.5</v>
      </c>
      <c r="J33" s="11">
        <v>0.8</v>
      </c>
      <c r="K33" s="13">
        <v>19.151157427377335</v>
      </c>
      <c r="L33" s="11">
        <v>1</v>
      </c>
      <c r="M33" s="11">
        <v>0</v>
      </c>
      <c r="O33" s="11" t="s">
        <v>32</v>
      </c>
      <c r="P33" s="11">
        <v>0.5</v>
      </c>
      <c r="Q33" s="11">
        <v>0.6</v>
      </c>
      <c r="R33" s="13">
        <v>19.151157427377335</v>
      </c>
      <c r="S33" s="11">
        <v>1</v>
      </c>
      <c r="T33" s="11">
        <v>0</v>
      </c>
      <c r="V33" s="11" t="s">
        <v>32</v>
      </c>
      <c r="W33" s="11">
        <v>0.5</v>
      </c>
      <c r="X33" s="11">
        <v>0.9</v>
      </c>
      <c r="Y33" s="11">
        <v>0.8</v>
      </c>
      <c r="Z33" s="11">
        <v>0.6</v>
      </c>
      <c r="AA33" s="13">
        <v>19.151157427377335</v>
      </c>
      <c r="AB33" s="11">
        <v>1</v>
      </c>
      <c r="AC33" s="11">
        <v>0</v>
      </c>
    </row>
    <row r="34" spans="1:29" x14ac:dyDescent="0.25">
      <c r="A34" s="11" t="s">
        <v>39</v>
      </c>
      <c r="B34" s="11">
        <v>0.78</v>
      </c>
      <c r="C34" s="11">
        <v>0.9</v>
      </c>
      <c r="D34" s="13">
        <v>17.024053178692682</v>
      </c>
      <c r="E34" s="11">
        <v>1</v>
      </c>
      <c r="F34" s="11">
        <v>0</v>
      </c>
      <c r="H34" s="11" t="s">
        <v>39</v>
      </c>
      <c r="I34" s="11">
        <v>0.78</v>
      </c>
      <c r="J34" s="11">
        <v>0.9</v>
      </c>
      <c r="K34" s="13">
        <v>17.024053178692682</v>
      </c>
      <c r="L34" s="11">
        <v>1</v>
      </c>
      <c r="M34" s="11">
        <v>0</v>
      </c>
      <c r="O34" s="11" t="s">
        <v>39</v>
      </c>
      <c r="P34" s="11">
        <v>0.78</v>
      </c>
      <c r="Q34" s="11">
        <v>0.8</v>
      </c>
      <c r="R34" s="13">
        <v>17.024053178692682</v>
      </c>
      <c r="S34" s="11">
        <v>1</v>
      </c>
      <c r="T34" s="11">
        <v>0</v>
      </c>
      <c r="V34" s="11" t="s">
        <v>39</v>
      </c>
      <c r="W34" s="11">
        <v>0.78</v>
      </c>
      <c r="X34" s="11">
        <v>0.9</v>
      </c>
      <c r="Y34" s="11">
        <v>0.9</v>
      </c>
      <c r="Z34" s="11">
        <v>0.8</v>
      </c>
      <c r="AA34" s="13">
        <v>17.024053178692682</v>
      </c>
      <c r="AB34" s="11">
        <v>1</v>
      </c>
      <c r="AC34" s="11">
        <v>0</v>
      </c>
    </row>
    <row r="35" spans="1:29" x14ac:dyDescent="0.25">
      <c r="A35" s="11" t="s">
        <v>47</v>
      </c>
      <c r="B35" s="11">
        <v>0.64</v>
      </c>
      <c r="C35" s="11">
        <v>0.6</v>
      </c>
      <c r="D35" s="13">
        <v>16.306564938338507</v>
      </c>
      <c r="E35" s="11">
        <v>0</v>
      </c>
      <c r="F35" s="11">
        <v>1</v>
      </c>
      <c r="H35" s="11" t="s">
        <v>47</v>
      </c>
      <c r="I35" s="11">
        <v>0.64</v>
      </c>
      <c r="J35" s="11">
        <v>0.8</v>
      </c>
      <c r="K35" s="13">
        <v>16.306564938338507</v>
      </c>
      <c r="L35" s="11">
        <v>0</v>
      </c>
      <c r="M35" s="11">
        <v>1</v>
      </c>
      <c r="O35" s="11" t="s">
        <v>47</v>
      </c>
      <c r="P35" s="11">
        <v>0.64</v>
      </c>
      <c r="Q35" s="11">
        <v>0.6</v>
      </c>
      <c r="R35" s="13">
        <v>16.306564938338507</v>
      </c>
      <c r="S35" s="11">
        <v>0</v>
      </c>
      <c r="T35" s="11">
        <v>1</v>
      </c>
      <c r="V35" s="11" t="s">
        <v>47</v>
      </c>
      <c r="W35" s="11">
        <v>0.64</v>
      </c>
      <c r="X35" s="11">
        <v>0.6</v>
      </c>
      <c r="Y35" s="11">
        <v>0.8</v>
      </c>
      <c r="Z35" s="11">
        <v>0.6</v>
      </c>
      <c r="AA35" s="13">
        <v>16.306564938338507</v>
      </c>
      <c r="AB35" s="11">
        <v>0</v>
      </c>
      <c r="AC35" s="11">
        <v>1</v>
      </c>
    </row>
    <row r="36" spans="1:29" x14ac:dyDescent="0.25">
      <c r="A36" s="11" t="s">
        <v>23</v>
      </c>
      <c r="B36" s="11">
        <v>0.63</v>
      </c>
      <c r="C36" s="11">
        <v>0.7</v>
      </c>
      <c r="D36" s="13">
        <v>17.504134979560181</v>
      </c>
      <c r="E36" s="11">
        <v>1</v>
      </c>
      <c r="F36" s="11">
        <v>0</v>
      </c>
      <c r="H36" s="11" t="s">
        <v>23</v>
      </c>
      <c r="I36" s="11">
        <v>0.63</v>
      </c>
      <c r="J36" s="11">
        <v>0.8</v>
      </c>
      <c r="K36" s="13">
        <v>17.504134979560181</v>
      </c>
      <c r="L36" s="11">
        <v>1</v>
      </c>
      <c r="M36" s="11">
        <v>0</v>
      </c>
      <c r="O36" s="11" t="s">
        <v>23</v>
      </c>
      <c r="P36" s="11">
        <v>0.63</v>
      </c>
      <c r="Q36" s="11">
        <v>0.2</v>
      </c>
      <c r="R36" s="13">
        <v>17.504134979560181</v>
      </c>
      <c r="S36" s="11">
        <v>1</v>
      </c>
      <c r="T36" s="11">
        <v>0</v>
      </c>
      <c r="V36" s="11" t="s">
        <v>23</v>
      </c>
      <c r="W36" s="11">
        <v>0.63</v>
      </c>
      <c r="X36" s="11">
        <v>0.7</v>
      </c>
      <c r="Y36" s="11">
        <v>0.8</v>
      </c>
      <c r="Z36" s="11">
        <v>0.2</v>
      </c>
      <c r="AA36" s="13">
        <v>17.504134979560181</v>
      </c>
      <c r="AB36" s="11">
        <v>1</v>
      </c>
      <c r="AC36" s="11">
        <v>0</v>
      </c>
    </row>
    <row r="37" spans="1:29" x14ac:dyDescent="0.25">
      <c r="A37" s="11" t="s">
        <v>16</v>
      </c>
      <c r="B37" s="11">
        <v>0.86</v>
      </c>
      <c r="C37" s="11">
        <v>0.8</v>
      </c>
      <c r="D37" s="13">
        <v>19.469707051873016</v>
      </c>
      <c r="E37" s="11">
        <v>1</v>
      </c>
      <c r="F37" s="11">
        <v>1</v>
      </c>
      <c r="H37" s="11" t="s">
        <v>16</v>
      </c>
      <c r="I37" s="11">
        <v>0.86</v>
      </c>
      <c r="J37" s="11">
        <v>0.8</v>
      </c>
      <c r="K37" s="13">
        <v>19.469707051873016</v>
      </c>
      <c r="L37" s="11">
        <v>1</v>
      </c>
      <c r="M37" s="11">
        <v>1</v>
      </c>
      <c r="O37" s="11" t="s">
        <v>16</v>
      </c>
      <c r="P37" s="11">
        <v>0.86</v>
      </c>
      <c r="Q37" s="11">
        <v>0.6</v>
      </c>
      <c r="R37" s="13">
        <v>19.469707051873016</v>
      </c>
      <c r="S37" s="11">
        <v>1</v>
      </c>
      <c r="T37" s="11">
        <v>1</v>
      </c>
      <c r="V37" s="11" t="s">
        <v>16</v>
      </c>
      <c r="W37" s="11">
        <v>0.86</v>
      </c>
      <c r="X37" s="11">
        <v>0.8</v>
      </c>
      <c r="Y37" s="11">
        <v>0.8</v>
      </c>
      <c r="Z37" s="11">
        <v>0.6</v>
      </c>
      <c r="AA37" s="13">
        <v>19.469707051873016</v>
      </c>
      <c r="AB37" s="11">
        <v>1</v>
      </c>
      <c r="AC37" s="11">
        <v>1</v>
      </c>
    </row>
    <row r="38" spans="1:29" x14ac:dyDescent="0.25">
      <c r="A38" s="11" t="s">
        <v>41</v>
      </c>
      <c r="B38" s="11">
        <v>0.68</v>
      </c>
      <c r="C38" s="11">
        <v>0.8</v>
      </c>
      <c r="D38" s="13">
        <v>17.796044185282391</v>
      </c>
      <c r="E38" s="11">
        <v>0</v>
      </c>
      <c r="F38" s="11">
        <v>1</v>
      </c>
      <c r="H38" s="11" t="s">
        <v>41</v>
      </c>
      <c r="I38" s="11">
        <v>0.68</v>
      </c>
      <c r="J38" s="11">
        <v>0.9</v>
      </c>
      <c r="K38" s="13">
        <v>17.796044185282391</v>
      </c>
      <c r="L38" s="11">
        <v>0</v>
      </c>
      <c r="M38" s="11">
        <v>1</v>
      </c>
      <c r="O38" s="11" t="s">
        <v>41</v>
      </c>
      <c r="P38" s="11">
        <v>0.68</v>
      </c>
      <c r="Q38" s="11">
        <v>0.8</v>
      </c>
      <c r="R38" s="13">
        <v>17.796044185282391</v>
      </c>
      <c r="S38" s="11">
        <v>0</v>
      </c>
      <c r="T38" s="11">
        <v>1</v>
      </c>
      <c r="V38" s="11" t="s">
        <v>41</v>
      </c>
      <c r="W38" s="11">
        <v>0.68</v>
      </c>
      <c r="X38" s="11">
        <v>0.8</v>
      </c>
      <c r="Y38" s="11">
        <v>0.9</v>
      </c>
      <c r="Z38" s="11">
        <v>0.8</v>
      </c>
      <c r="AA38" s="13">
        <v>17.796044185282391</v>
      </c>
      <c r="AB38" s="11">
        <v>0</v>
      </c>
      <c r="AC38" s="11">
        <v>1</v>
      </c>
    </row>
    <row r="39" spans="1:29" x14ac:dyDescent="0.25">
      <c r="A39" s="11" t="s">
        <v>36</v>
      </c>
      <c r="B39" s="11">
        <v>0.88</v>
      </c>
      <c r="C39" s="11">
        <v>0.7</v>
      </c>
      <c r="D39" s="13">
        <v>18.105408197496068</v>
      </c>
      <c r="E39" s="11">
        <v>0</v>
      </c>
      <c r="F39" s="11">
        <v>1</v>
      </c>
      <c r="H39" s="11" t="s">
        <v>36</v>
      </c>
      <c r="I39" s="11">
        <v>0.88</v>
      </c>
      <c r="J39" s="11">
        <v>0.7</v>
      </c>
      <c r="K39" s="13">
        <v>18.105408197496068</v>
      </c>
      <c r="L39" s="11">
        <v>0</v>
      </c>
      <c r="M39" s="11">
        <v>1</v>
      </c>
      <c r="O39" s="11" t="s">
        <v>36</v>
      </c>
      <c r="P39" s="11">
        <v>0.88</v>
      </c>
      <c r="Q39" s="11">
        <v>0.6</v>
      </c>
      <c r="R39" s="13">
        <v>18.105408197496068</v>
      </c>
      <c r="S39" s="11">
        <v>0</v>
      </c>
      <c r="T39" s="11">
        <v>1</v>
      </c>
      <c r="V39" s="11" t="s">
        <v>36</v>
      </c>
      <c r="W39" s="11">
        <v>0.88</v>
      </c>
      <c r="X39" s="11">
        <v>0.7</v>
      </c>
      <c r="Y39" s="11">
        <v>0.7</v>
      </c>
      <c r="Z39" s="11">
        <v>0.6</v>
      </c>
      <c r="AA39" s="13">
        <v>18.105408197496068</v>
      </c>
      <c r="AB39" s="11">
        <v>0</v>
      </c>
      <c r="AC39" s="11">
        <v>1</v>
      </c>
    </row>
    <row r="40" spans="1:29" x14ac:dyDescent="0.25">
      <c r="A40" s="11" t="s">
        <v>21</v>
      </c>
      <c r="B40" s="11">
        <v>0.74</v>
      </c>
      <c r="C40" s="11">
        <v>0.9</v>
      </c>
      <c r="D40" s="13">
        <v>18.679121938619264</v>
      </c>
      <c r="E40" s="11">
        <v>1</v>
      </c>
      <c r="F40" s="11">
        <v>1</v>
      </c>
      <c r="H40" s="11" t="s">
        <v>21</v>
      </c>
      <c r="I40" s="11">
        <v>0.74</v>
      </c>
      <c r="J40" s="11">
        <v>0.7</v>
      </c>
      <c r="K40" s="13">
        <v>18.679121938619264</v>
      </c>
      <c r="L40" s="11">
        <v>1</v>
      </c>
      <c r="M40" s="11">
        <v>1</v>
      </c>
      <c r="O40" s="11" t="s">
        <v>21</v>
      </c>
      <c r="P40" s="11">
        <v>0.74</v>
      </c>
      <c r="Q40" s="11">
        <v>0.8</v>
      </c>
      <c r="R40" s="13">
        <v>18.679121938619264</v>
      </c>
      <c r="S40" s="11">
        <v>1</v>
      </c>
      <c r="T40" s="11">
        <v>1</v>
      </c>
      <c r="V40" s="11" t="s">
        <v>21</v>
      </c>
      <c r="W40" s="11">
        <v>0.74</v>
      </c>
      <c r="X40" s="11">
        <v>0.9</v>
      </c>
      <c r="Y40" s="11">
        <v>0.7</v>
      </c>
      <c r="Z40" s="11">
        <v>0.8</v>
      </c>
      <c r="AA40" s="13">
        <v>18.679121938619264</v>
      </c>
      <c r="AB40" s="11">
        <v>1</v>
      </c>
      <c r="AC40" s="11">
        <v>1</v>
      </c>
    </row>
    <row r="41" spans="1:29" x14ac:dyDescent="0.25">
      <c r="A41" s="11" t="s">
        <v>48</v>
      </c>
      <c r="B41" s="11">
        <v>0.61</v>
      </c>
      <c r="C41" s="11">
        <v>0.7</v>
      </c>
      <c r="D41" s="13">
        <v>15.886037482254537</v>
      </c>
      <c r="E41" s="11">
        <v>0</v>
      </c>
      <c r="F41" s="11">
        <v>1</v>
      </c>
      <c r="H41" s="11" t="s">
        <v>48</v>
      </c>
      <c r="I41" s="11">
        <v>0.61</v>
      </c>
      <c r="J41" s="11">
        <v>0.8</v>
      </c>
      <c r="K41" s="13">
        <v>15.886037482254537</v>
      </c>
      <c r="L41" s="11">
        <v>0</v>
      </c>
      <c r="M41" s="11">
        <v>1</v>
      </c>
      <c r="O41" s="11" t="s">
        <v>48</v>
      </c>
      <c r="P41" s="11">
        <v>0.61</v>
      </c>
      <c r="Q41" s="11">
        <v>0.6</v>
      </c>
      <c r="R41" s="13">
        <v>15.886037482254537</v>
      </c>
      <c r="S41" s="11">
        <v>0</v>
      </c>
      <c r="T41" s="11">
        <v>1</v>
      </c>
      <c r="V41" s="11" t="s">
        <v>48</v>
      </c>
      <c r="W41" s="11">
        <v>0.61</v>
      </c>
      <c r="X41" s="11">
        <v>0.7</v>
      </c>
      <c r="Y41" s="11">
        <v>0.8</v>
      </c>
      <c r="Z41" s="11">
        <v>0.6</v>
      </c>
      <c r="AA41" s="13">
        <v>15.886037482254537</v>
      </c>
      <c r="AB41" s="11">
        <v>0</v>
      </c>
      <c r="AC41" s="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5DDF-3779-48AE-8EA5-40F86C2FF0EF}">
  <dimension ref="A1:I69"/>
  <sheetViews>
    <sheetView workbookViewId="0">
      <selection activeCell="F26" sqref="F26"/>
    </sheetView>
  </sheetViews>
  <sheetFormatPr baseColWidth="10" defaultRowHeight="15" x14ac:dyDescent="0.25"/>
  <cols>
    <col min="1" max="1" width="34" bestFit="1" customWidth="1"/>
    <col min="2" max="2" width="18.28515625" bestFit="1" customWidth="1"/>
    <col min="3" max="3" width="18.140625" bestFit="1" customWidth="1"/>
    <col min="4" max="4" width="19.28515625" bestFit="1" customWidth="1"/>
    <col min="5" max="5" width="12" bestFit="1" customWidth="1"/>
    <col min="6" max="6" width="42.5703125" bestFit="1" customWidth="1"/>
    <col min="7" max="7" width="43.7109375" bestFit="1" customWidth="1"/>
    <col min="8" max="8" width="44.5703125" bestFit="1" customWidth="1"/>
    <col min="9" max="9" width="45.7109375" bestFit="1" customWidth="1"/>
  </cols>
  <sheetData>
    <row r="1" spans="1:9" x14ac:dyDescent="0.25">
      <c r="A1" t="s">
        <v>72</v>
      </c>
    </row>
    <row r="2" spans="1:9" ht="15.75" thickBot="1" x14ac:dyDescent="0.3"/>
    <row r="3" spans="1:9" x14ac:dyDescent="0.25">
      <c r="A3" s="23" t="s">
        <v>73</v>
      </c>
      <c r="B3" s="23"/>
    </row>
    <row r="4" spans="1:9" x14ac:dyDescent="0.25">
      <c r="A4" t="s">
        <v>74</v>
      </c>
      <c r="B4">
        <v>0.55299172710674516</v>
      </c>
    </row>
    <row r="5" spans="1:9" x14ac:dyDescent="0.25">
      <c r="A5" t="s">
        <v>75</v>
      </c>
      <c r="B5">
        <v>0.30579985024850087</v>
      </c>
    </row>
    <row r="6" spans="1:9" x14ac:dyDescent="0.25">
      <c r="A6" t="s">
        <v>75</v>
      </c>
      <c r="B6">
        <v>0.17958164120277376</v>
      </c>
    </row>
    <row r="7" spans="1:9" x14ac:dyDescent="0.25">
      <c r="A7" t="s">
        <v>76</v>
      </c>
      <c r="B7">
        <v>3.6451113600873337E-2</v>
      </c>
    </row>
    <row r="8" spans="1:9" ht="15.75" thickBot="1" x14ac:dyDescent="0.3">
      <c r="A8" s="21" t="s">
        <v>77</v>
      </c>
      <c r="B8" s="21">
        <v>40</v>
      </c>
    </row>
    <row r="10" spans="1:9" ht="15.75" thickBot="1" x14ac:dyDescent="0.3">
      <c r="A10" t="s">
        <v>78</v>
      </c>
    </row>
    <row r="11" spans="1:9" x14ac:dyDescent="0.25">
      <c r="A11" s="22"/>
      <c r="B11" s="22" t="s">
        <v>83</v>
      </c>
      <c r="C11" s="22" t="s">
        <v>84</v>
      </c>
      <c r="D11" s="22" t="s">
        <v>85</v>
      </c>
      <c r="E11" s="22" t="s">
        <v>86</v>
      </c>
      <c r="F11" s="22" t="s">
        <v>87</v>
      </c>
    </row>
    <row r="12" spans="1:9" x14ac:dyDescent="0.25">
      <c r="A12" t="s">
        <v>79</v>
      </c>
      <c r="B12">
        <v>6</v>
      </c>
      <c r="C12">
        <v>1.9314706219455462E-2</v>
      </c>
      <c r="D12">
        <v>3.2191177032425771E-3</v>
      </c>
      <c r="E12">
        <v>2.4227871125767106</v>
      </c>
      <c r="F12">
        <v>4.7377419749821015E-2</v>
      </c>
    </row>
    <row r="13" spans="1:9" x14ac:dyDescent="0.25">
      <c r="A13" t="s">
        <v>80</v>
      </c>
      <c r="B13">
        <v>33</v>
      </c>
      <c r="C13">
        <v>4.3846561530544524E-2</v>
      </c>
      <c r="D13">
        <v>1.3286836827437734E-3</v>
      </c>
    </row>
    <row r="14" spans="1:9" ht="15.75" thickBot="1" x14ac:dyDescent="0.3">
      <c r="A14" s="21" t="s">
        <v>81</v>
      </c>
      <c r="B14" s="21">
        <v>39</v>
      </c>
      <c r="C14" s="21">
        <v>6.3161267749999986E-2</v>
      </c>
      <c r="D14" s="21"/>
      <c r="E14" s="21"/>
      <c r="F14" s="21"/>
    </row>
    <row r="15" spans="1:9" ht="15.75" thickBot="1" x14ac:dyDescent="0.3"/>
    <row r="16" spans="1:9" x14ac:dyDescent="0.25">
      <c r="A16" s="22"/>
      <c r="B16" s="22" t="s">
        <v>88</v>
      </c>
      <c r="C16" s="22" t="s">
        <v>76</v>
      </c>
      <c r="D16" s="22" t="s">
        <v>89</v>
      </c>
      <c r="E16" s="22" t="s">
        <v>90</v>
      </c>
      <c r="F16" s="22" t="s">
        <v>91</v>
      </c>
      <c r="G16" s="22" t="s">
        <v>92</v>
      </c>
      <c r="H16" s="22" t="s">
        <v>93</v>
      </c>
      <c r="I16" s="22" t="s">
        <v>94</v>
      </c>
    </row>
    <row r="17" spans="1:9" x14ac:dyDescent="0.25">
      <c r="A17" t="s">
        <v>82</v>
      </c>
      <c r="B17">
        <v>0.25257850429595413</v>
      </c>
      <c r="C17">
        <v>8.4558148398858876E-2</v>
      </c>
      <c r="D17">
        <v>2.9870392041290574</v>
      </c>
      <c r="E17">
        <v>5.2799461711184673E-3</v>
      </c>
      <c r="F17">
        <v>8.0543657854484363E-2</v>
      </c>
      <c r="G17">
        <v>0.4246133507374239</v>
      </c>
      <c r="H17">
        <v>8.0543657854484363E-2</v>
      </c>
      <c r="I17">
        <v>0.4246133507374239</v>
      </c>
    </row>
    <row r="18" spans="1:9" x14ac:dyDescent="0.25">
      <c r="A18" t="s">
        <v>58</v>
      </c>
      <c r="B18">
        <v>-0.14941809869086503</v>
      </c>
      <c r="C18">
        <v>8.6822755902803847E-2</v>
      </c>
      <c r="D18">
        <v>-1.7209554930292155</v>
      </c>
      <c r="E18">
        <v>9.4623568627673113E-2</v>
      </c>
      <c r="F18">
        <v>-0.32606032374182942</v>
      </c>
      <c r="G18">
        <v>2.7224126360099354E-2</v>
      </c>
      <c r="H18">
        <v>-0.32606032374182942</v>
      </c>
      <c r="I18">
        <v>2.7224126360099354E-2</v>
      </c>
    </row>
    <row r="19" spans="1:9" x14ac:dyDescent="0.25">
      <c r="A19" t="s">
        <v>57</v>
      </c>
      <c r="B19">
        <v>8.6052050088217369E-2</v>
      </c>
      <c r="C19">
        <v>4.8654829457068144E-2</v>
      </c>
      <c r="D19">
        <v>1.7686229927935033</v>
      </c>
      <c r="E19">
        <v>8.6200526788369855E-2</v>
      </c>
      <c r="F19">
        <v>-1.2936944736976513E-2</v>
      </c>
      <c r="G19">
        <v>0.18504104491341125</v>
      </c>
      <c r="H19">
        <v>-1.2936944736976513E-2</v>
      </c>
      <c r="I19">
        <v>0.18504104491341125</v>
      </c>
    </row>
    <row r="20" spans="1:9" x14ac:dyDescent="0.25">
      <c r="A20" t="s">
        <v>104</v>
      </c>
      <c r="B20">
        <v>-9.9304553216919087E-3</v>
      </c>
      <c r="C20">
        <v>4.8682874826738148E-3</v>
      </c>
      <c r="D20">
        <v>-2.0398251658379456</v>
      </c>
      <c r="E20">
        <v>4.9438744950561511E-2</v>
      </c>
      <c r="F20">
        <v>-1.9835060677572923E-2</v>
      </c>
      <c r="G20">
        <v>-2.58499658108962E-5</v>
      </c>
      <c r="H20">
        <v>-1.9835060677572923E-2</v>
      </c>
      <c r="I20">
        <v>-2.58499658108962E-5</v>
      </c>
    </row>
    <row r="21" spans="1:9" x14ac:dyDescent="0.25">
      <c r="A21" t="s">
        <v>115</v>
      </c>
      <c r="B21">
        <v>-7.6524298757025793E-5</v>
      </c>
      <c r="C21">
        <v>1.4083111174107368E-4</v>
      </c>
      <c r="D21">
        <v>-0.54337637338062228</v>
      </c>
      <c r="E21">
        <v>0.59052272268260919</v>
      </c>
      <c r="F21">
        <v>-3.6304734995103752E-4</v>
      </c>
      <c r="G21">
        <v>2.099987524369859E-4</v>
      </c>
      <c r="H21">
        <v>-3.6304734995103752E-4</v>
      </c>
      <c r="I21">
        <v>2.099987524369859E-4</v>
      </c>
    </row>
    <row r="22" spans="1:9" x14ac:dyDescent="0.25">
      <c r="A22" t="s">
        <v>117</v>
      </c>
      <c r="B22">
        <v>2.841344480876714E-2</v>
      </c>
      <c r="C22">
        <v>1.7912457868568054E-2</v>
      </c>
      <c r="D22">
        <v>1.5862393099400238</v>
      </c>
      <c r="E22">
        <v>0.12222220186897746</v>
      </c>
      <c r="F22">
        <v>-8.0297247397513594E-3</v>
      </c>
      <c r="G22">
        <v>6.4856614357285639E-2</v>
      </c>
      <c r="H22">
        <v>-8.0297247397513594E-3</v>
      </c>
      <c r="I22">
        <v>6.4856614357285639E-2</v>
      </c>
    </row>
    <row r="23" spans="1:9" ht="15.75" thickBot="1" x14ac:dyDescent="0.3">
      <c r="A23" s="21" t="s">
        <v>118</v>
      </c>
      <c r="B23" s="21">
        <v>1.9753112295279505E-2</v>
      </c>
      <c r="C23" s="21">
        <v>1.7861448386899126E-2</v>
      </c>
      <c r="D23" s="21">
        <v>1.10590764351271</v>
      </c>
      <c r="E23" s="21">
        <v>0.27676392030145164</v>
      </c>
      <c r="F23" s="21">
        <v>-1.6586277682468599E-2</v>
      </c>
      <c r="G23" s="21">
        <v>5.609250227302761E-2</v>
      </c>
      <c r="H23" s="21">
        <v>-1.6586277682468599E-2</v>
      </c>
      <c r="I23" s="21">
        <v>5.609250227302761E-2</v>
      </c>
    </row>
    <row r="27" spans="1:9" x14ac:dyDescent="0.25">
      <c r="A27" t="s">
        <v>95</v>
      </c>
    </row>
    <row r="28" spans="1:9" ht="15.75" thickBot="1" x14ac:dyDescent="0.3"/>
    <row r="29" spans="1:9" x14ac:dyDescent="0.25">
      <c r="A29" s="22" t="s">
        <v>96</v>
      </c>
      <c r="B29" s="22" t="s">
        <v>97</v>
      </c>
      <c r="C29" s="22" t="s">
        <v>80</v>
      </c>
      <c r="D29" s="22" t="s">
        <v>119</v>
      </c>
    </row>
    <row r="30" spans="1:9" x14ac:dyDescent="0.25">
      <c r="A30">
        <v>1</v>
      </c>
      <c r="B30">
        <v>4.3578968054792389E-2</v>
      </c>
      <c r="C30">
        <v>8.7210319452076177E-3</v>
      </c>
      <c r="D30">
        <v>0.26009524350795848</v>
      </c>
    </row>
    <row r="31" spans="1:9" x14ac:dyDescent="0.25">
      <c r="A31">
        <v>2</v>
      </c>
      <c r="B31">
        <v>4.1375954416724953E-2</v>
      </c>
      <c r="C31">
        <v>2.462404558327505E-2</v>
      </c>
      <c r="D31">
        <v>0.73438523931247013</v>
      </c>
    </row>
    <row r="32" spans="1:9" x14ac:dyDescent="0.25">
      <c r="A32">
        <v>3</v>
      </c>
      <c r="B32">
        <v>3.7960997137875679E-2</v>
      </c>
      <c r="C32">
        <v>-5.76099713787568E-3</v>
      </c>
      <c r="D32">
        <v>-0.17181544143383537</v>
      </c>
    </row>
    <row r="33" spans="1:4" x14ac:dyDescent="0.25">
      <c r="A33">
        <v>4</v>
      </c>
      <c r="B33">
        <v>2.79514175764656E-2</v>
      </c>
      <c r="C33">
        <v>-1.33514175764656E-2</v>
      </c>
      <c r="D33">
        <v>-0.39819143279661334</v>
      </c>
    </row>
    <row r="34" spans="1:4" x14ac:dyDescent="0.25">
      <c r="A34">
        <v>5</v>
      </c>
      <c r="B34">
        <v>7.1042985698308182E-3</v>
      </c>
      <c r="C34">
        <v>1.7595701430169183E-2</v>
      </c>
      <c r="D34">
        <v>0.52477255867501982</v>
      </c>
    </row>
    <row r="35" spans="1:4" x14ac:dyDescent="0.25">
      <c r="A35">
        <v>6</v>
      </c>
      <c r="B35">
        <v>-2.913434122951504E-2</v>
      </c>
      <c r="C35">
        <v>3.3534341229515041E-2</v>
      </c>
      <c r="D35">
        <v>1.0001250657914018</v>
      </c>
    </row>
    <row r="36" spans="1:4" x14ac:dyDescent="0.25">
      <c r="A36">
        <v>7</v>
      </c>
      <c r="B36">
        <v>7.0107205685876611E-2</v>
      </c>
      <c r="C36">
        <v>-5.3007205685876607E-2</v>
      </c>
      <c r="D36">
        <v>-1.5808819595163515</v>
      </c>
    </row>
    <row r="37" spans="1:4" x14ac:dyDescent="0.25">
      <c r="A37">
        <v>8</v>
      </c>
      <c r="B37">
        <v>5.5348624989700841E-2</v>
      </c>
      <c r="C37">
        <v>1.105137501029916E-2</v>
      </c>
      <c r="D37">
        <v>0.32959517777951414</v>
      </c>
    </row>
    <row r="38" spans="1:4" x14ac:dyDescent="0.25">
      <c r="A38">
        <v>9</v>
      </c>
      <c r="B38">
        <v>5.0081113548184619E-2</v>
      </c>
      <c r="C38">
        <v>-3.7381113548184616E-2</v>
      </c>
      <c r="D38">
        <v>-1.1148508447164347</v>
      </c>
    </row>
    <row r="39" spans="1:4" x14ac:dyDescent="0.25">
      <c r="A39">
        <v>10</v>
      </c>
      <c r="B39">
        <v>1.8403961694002359E-2</v>
      </c>
      <c r="C39">
        <v>2.9396038305997643E-2</v>
      </c>
      <c r="D39">
        <v>0.87670470529227174</v>
      </c>
    </row>
    <row r="40" spans="1:4" x14ac:dyDescent="0.25">
      <c r="A40">
        <v>11</v>
      </c>
      <c r="B40">
        <v>1.8353592101535001E-2</v>
      </c>
      <c r="C40">
        <v>-1.5453592101535001E-2</v>
      </c>
      <c r="D40">
        <v>-0.46088648980699515</v>
      </c>
    </row>
    <row r="41" spans="1:4" x14ac:dyDescent="0.25">
      <c r="A41">
        <v>12</v>
      </c>
      <c r="B41">
        <v>3.3988252589271684E-2</v>
      </c>
      <c r="C41">
        <v>1.1011747410728315E-2</v>
      </c>
      <c r="D41">
        <v>0.32841332794514005</v>
      </c>
    </row>
    <row r="42" spans="1:4" x14ac:dyDescent="0.25">
      <c r="A42">
        <v>13</v>
      </c>
      <c r="B42">
        <v>5.2384012588084651E-2</v>
      </c>
      <c r="C42">
        <v>2.7215987411915353E-2</v>
      </c>
      <c r="D42">
        <v>0.81168707071432877</v>
      </c>
    </row>
    <row r="43" spans="1:4" x14ac:dyDescent="0.25">
      <c r="A43">
        <v>14</v>
      </c>
      <c r="B43">
        <v>4.7418329088165095E-2</v>
      </c>
      <c r="C43">
        <v>-9.2183290881650976E-3</v>
      </c>
      <c r="D43">
        <v>-0.27492658712715196</v>
      </c>
    </row>
    <row r="44" spans="1:4" x14ac:dyDescent="0.25">
      <c r="A44">
        <v>15</v>
      </c>
      <c r="B44">
        <v>5.7200196046007436E-2</v>
      </c>
      <c r="C44">
        <v>-2.8500196046007436E-2</v>
      </c>
      <c r="D44">
        <v>-0.84998718926655492</v>
      </c>
    </row>
    <row r="45" spans="1:4" x14ac:dyDescent="0.25">
      <c r="A45">
        <v>16</v>
      </c>
      <c r="B45">
        <v>6.2049884864125805E-2</v>
      </c>
      <c r="C45">
        <v>-2.7149884864125805E-2</v>
      </c>
      <c r="D45">
        <v>-0.80971563449303774</v>
      </c>
    </row>
    <row r="46" spans="1:4" x14ac:dyDescent="0.25">
      <c r="A46">
        <v>17</v>
      </c>
      <c r="B46">
        <v>3.3108167362100163E-2</v>
      </c>
      <c r="C46">
        <v>1.8391832637899841E-2</v>
      </c>
      <c r="D46">
        <v>0.54851630157608555</v>
      </c>
    </row>
    <row r="47" spans="1:4" x14ac:dyDescent="0.25">
      <c r="A47">
        <v>18</v>
      </c>
      <c r="B47">
        <v>8.5929955944475861E-2</v>
      </c>
      <c r="C47">
        <v>9.2970044055524143E-2</v>
      </c>
      <c r="D47">
        <v>2.7727299245653101</v>
      </c>
    </row>
    <row r="48" spans="1:4" x14ac:dyDescent="0.25">
      <c r="A48">
        <v>19</v>
      </c>
      <c r="B48">
        <v>7.5727319931889886E-2</v>
      </c>
      <c r="C48">
        <v>-3.8027319931889889E-2</v>
      </c>
      <c r="D48">
        <v>-1.1341232436460797</v>
      </c>
    </row>
    <row r="49" spans="1:4" x14ac:dyDescent="0.25">
      <c r="A49">
        <v>20</v>
      </c>
      <c r="B49">
        <v>5.8410789052610157E-2</v>
      </c>
      <c r="C49">
        <v>7.789210947389838E-3</v>
      </c>
      <c r="D49">
        <v>0.23230470096024688</v>
      </c>
    </row>
    <row r="50" spans="1:4" x14ac:dyDescent="0.25">
      <c r="A50">
        <v>21</v>
      </c>
      <c r="B50">
        <v>5.1352152720034447E-2</v>
      </c>
      <c r="C50">
        <v>4.8847847279965551E-2</v>
      </c>
      <c r="D50">
        <v>1.4568336422737118</v>
      </c>
    </row>
    <row r="51" spans="1:4" x14ac:dyDescent="0.25">
      <c r="A51">
        <v>22</v>
      </c>
      <c r="B51">
        <v>5.7295837907177675E-2</v>
      </c>
      <c r="C51">
        <v>2.6304162092822318E-2</v>
      </c>
      <c r="D51">
        <v>0.7844928774243306</v>
      </c>
    </row>
    <row r="52" spans="1:4" x14ac:dyDescent="0.25">
      <c r="A52">
        <v>23</v>
      </c>
      <c r="B52">
        <v>5.0679183104399561E-2</v>
      </c>
      <c r="C52">
        <v>2.720816895600435E-3</v>
      </c>
      <c r="D52">
        <v>8.114538938143008E-2</v>
      </c>
    </row>
    <row r="53" spans="1:4" x14ac:dyDescent="0.25">
      <c r="A53">
        <v>24</v>
      </c>
      <c r="B53">
        <v>3.87556848413841E-2</v>
      </c>
      <c r="C53">
        <v>-2.0556848413841033E-3</v>
      </c>
      <c r="D53">
        <v>-6.1308553019259533E-2</v>
      </c>
    </row>
    <row r="54" spans="1:4" x14ac:dyDescent="0.25">
      <c r="A54">
        <v>25</v>
      </c>
      <c r="B54">
        <v>6.0297791959484218E-2</v>
      </c>
      <c r="C54">
        <v>-1.6297791959484213E-2</v>
      </c>
      <c r="D54">
        <v>-0.48606382764983425</v>
      </c>
    </row>
    <row r="55" spans="1:4" x14ac:dyDescent="0.25">
      <c r="A55">
        <v>26</v>
      </c>
      <c r="B55">
        <v>2.9371111541125691E-2</v>
      </c>
      <c r="C55">
        <v>1.8428888458874311E-2</v>
      </c>
      <c r="D55">
        <v>0.54962145092541659</v>
      </c>
    </row>
    <row r="56" spans="1:4" x14ac:dyDescent="0.25">
      <c r="A56">
        <v>27</v>
      </c>
      <c r="B56">
        <v>6.6681964125363674E-3</v>
      </c>
      <c r="C56">
        <v>-0.10166819641253637</v>
      </c>
      <c r="D56">
        <v>-3.0321428093684237</v>
      </c>
    </row>
    <row r="57" spans="1:4" x14ac:dyDescent="0.25">
      <c r="A57">
        <v>28</v>
      </c>
      <c r="B57">
        <v>2.7831010070542492E-2</v>
      </c>
      <c r="C57">
        <v>5.3368989929457503E-2</v>
      </c>
      <c r="D57">
        <v>1.5916717790609554</v>
      </c>
    </row>
    <row r="58" spans="1:4" x14ac:dyDescent="0.25">
      <c r="A58">
        <v>29</v>
      </c>
      <c r="B58">
        <v>4.3756056000893939E-2</v>
      </c>
      <c r="C58">
        <v>-1.356056000893939E-3</v>
      </c>
      <c r="D58">
        <v>-4.0442887720042717E-2</v>
      </c>
    </row>
    <row r="59" spans="1:4" x14ac:dyDescent="0.25">
      <c r="A59">
        <v>30</v>
      </c>
      <c r="B59">
        <v>4.0574351716511345E-2</v>
      </c>
      <c r="C59">
        <v>3.2025648283488653E-2</v>
      </c>
      <c r="D59">
        <v>0.9551299480529436</v>
      </c>
    </row>
    <row r="60" spans="1:4" x14ac:dyDescent="0.25">
      <c r="A60">
        <v>31</v>
      </c>
      <c r="B60">
        <v>-2.417480805039833E-3</v>
      </c>
      <c r="C60">
        <v>6.6174808050398328E-3</v>
      </c>
      <c r="D60">
        <v>0.19735913045725018</v>
      </c>
    </row>
    <row r="61" spans="1:4" x14ac:dyDescent="0.25">
      <c r="A61">
        <v>32</v>
      </c>
      <c r="B61">
        <v>5.4590559409479177E-3</v>
      </c>
      <c r="C61">
        <v>-1.7159055940947916E-2</v>
      </c>
      <c r="D61">
        <v>-0.5117500843211602</v>
      </c>
    </row>
    <row r="62" spans="1:4" x14ac:dyDescent="0.25">
      <c r="A62">
        <v>33</v>
      </c>
      <c r="B62">
        <v>3.7630374633609742E-2</v>
      </c>
      <c r="C62">
        <v>-2.6303746336097389E-3</v>
      </c>
      <c r="D62">
        <v>-7.8448047793453518E-2</v>
      </c>
    </row>
    <row r="63" spans="1:4" x14ac:dyDescent="0.25">
      <c r="A63">
        <v>34</v>
      </c>
      <c r="B63">
        <v>4.4064032826496659E-2</v>
      </c>
      <c r="C63">
        <v>-4.4640328264966625E-3</v>
      </c>
      <c r="D63">
        <v>-0.13313489875165552</v>
      </c>
    </row>
    <row r="64" spans="1:4" x14ac:dyDescent="0.25">
      <c r="A64">
        <v>35</v>
      </c>
      <c r="B64">
        <v>4.9810570109965015E-2</v>
      </c>
      <c r="C64">
        <v>-2.4410570109965016E-2</v>
      </c>
      <c r="D64">
        <v>-0.72801856670280707</v>
      </c>
    </row>
    <row r="65" spans="1:4" x14ac:dyDescent="0.25">
      <c r="A65">
        <v>36</v>
      </c>
      <c r="B65">
        <v>4.4989875976756341E-2</v>
      </c>
      <c r="C65">
        <v>5.2101240232436535E-3</v>
      </c>
      <c r="D65">
        <v>0.15538625303131617</v>
      </c>
    </row>
    <row r="66" spans="1:4" x14ac:dyDescent="0.25">
      <c r="A66">
        <v>37</v>
      </c>
      <c r="B66">
        <v>1.2099817035199025E-2</v>
      </c>
      <c r="C66">
        <v>7.3001829648009758E-3</v>
      </c>
      <c r="D66">
        <v>0.21771997600879761</v>
      </c>
    </row>
    <row r="67" spans="1:4" x14ac:dyDescent="0.25">
      <c r="A67">
        <v>38</v>
      </c>
      <c r="B67">
        <v>4.0159271440618108E-2</v>
      </c>
      <c r="C67">
        <v>-1.8859271440618108E-2</v>
      </c>
      <c r="D67">
        <v>-0.56245715284023967</v>
      </c>
    </row>
    <row r="68" spans="1:4" x14ac:dyDescent="0.25">
      <c r="A68">
        <v>39</v>
      </c>
      <c r="B68">
        <v>4.5049608507816724E-2</v>
      </c>
      <c r="C68">
        <v>-4.9496085078167273E-3</v>
      </c>
      <c r="D68">
        <v>-0.14761666259198719</v>
      </c>
    </row>
    <row r="69" spans="1:4" ht="15.75" thickBot="1" x14ac:dyDescent="0.3">
      <c r="A69" s="21">
        <v>40</v>
      </c>
      <c r="B69" s="21">
        <v>4.6524798047339139E-2</v>
      </c>
      <c r="C69" s="21">
        <v>-6.1424798047339135E-2</v>
      </c>
      <c r="D69" s="21">
        <v>-1.8319274491740787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5064-3EFD-4AAA-8DA3-E857B43E0549}">
  <dimension ref="A1:I67"/>
  <sheetViews>
    <sheetView topLeftCell="A2" workbookViewId="0">
      <selection sqref="A1:I67"/>
    </sheetView>
  </sheetViews>
  <sheetFormatPr baseColWidth="10" defaultRowHeight="15" x14ac:dyDescent="0.25"/>
  <cols>
    <col min="1" max="1" width="34" bestFit="1" customWidth="1"/>
    <col min="2" max="2" width="48.42578125" bestFit="1" customWidth="1"/>
    <col min="3" max="3" width="18.140625" bestFit="1" customWidth="1"/>
    <col min="4" max="4" width="19.28515625" bestFit="1" customWidth="1"/>
    <col min="5" max="5" width="12" bestFit="1" customWidth="1"/>
    <col min="6" max="6" width="42.5703125" bestFit="1" customWidth="1"/>
    <col min="7" max="7" width="43.7109375" bestFit="1" customWidth="1"/>
    <col min="8" max="8" width="44.5703125" bestFit="1" customWidth="1"/>
    <col min="9" max="9" width="45.7109375" bestFit="1" customWidth="1"/>
  </cols>
  <sheetData>
    <row r="1" spans="1:9" x14ac:dyDescent="0.25">
      <c r="A1" t="s">
        <v>72</v>
      </c>
    </row>
    <row r="2" spans="1:9" ht="15.75" thickBot="1" x14ac:dyDescent="0.3"/>
    <row r="3" spans="1:9" x14ac:dyDescent="0.25">
      <c r="A3" s="23" t="s">
        <v>73</v>
      </c>
      <c r="B3" s="23"/>
    </row>
    <row r="4" spans="1:9" x14ac:dyDescent="0.25">
      <c r="A4" t="s">
        <v>74</v>
      </c>
      <c r="B4">
        <v>0.28155862170357265</v>
      </c>
    </row>
    <row r="5" spans="1:9" x14ac:dyDescent="0.25">
      <c r="A5" t="s">
        <v>75</v>
      </c>
      <c r="B5">
        <v>7.9275257455615519E-2</v>
      </c>
    </row>
    <row r="6" spans="1:9" x14ac:dyDescent="0.25">
      <c r="A6" t="s">
        <v>75</v>
      </c>
      <c r="B6">
        <v>-2.5950427406599846E-2</v>
      </c>
    </row>
    <row r="7" spans="1:9" x14ac:dyDescent="0.25">
      <c r="A7" t="s">
        <v>76</v>
      </c>
      <c r="B7">
        <v>0.17495456401468878</v>
      </c>
    </row>
    <row r="8" spans="1:9" ht="15.75" thickBot="1" x14ac:dyDescent="0.3">
      <c r="A8" s="21" t="s">
        <v>77</v>
      </c>
      <c r="B8" s="21">
        <v>40</v>
      </c>
    </row>
    <row r="10" spans="1:9" ht="15.75" thickBot="1" x14ac:dyDescent="0.3">
      <c r="A10" t="s">
        <v>78</v>
      </c>
    </row>
    <row r="11" spans="1:9" x14ac:dyDescent="0.25">
      <c r="A11" s="22"/>
      <c r="B11" s="22" t="s">
        <v>83</v>
      </c>
      <c r="C11" s="22" t="s">
        <v>84</v>
      </c>
      <c r="D11" s="22" t="s">
        <v>85</v>
      </c>
      <c r="E11" s="22" t="s">
        <v>86</v>
      </c>
      <c r="F11" s="22" t="s">
        <v>87</v>
      </c>
    </row>
    <row r="12" spans="1:9" x14ac:dyDescent="0.25">
      <c r="A12" t="s">
        <v>79</v>
      </c>
      <c r="B12">
        <v>4</v>
      </c>
      <c r="C12">
        <v>9.2241518565056024E-2</v>
      </c>
      <c r="D12">
        <v>2.3060379641264006E-2</v>
      </c>
      <c r="E12">
        <v>0.75338314556393848</v>
      </c>
      <c r="F12">
        <v>0.56257682499793593</v>
      </c>
    </row>
    <row r="13" spans="1:9" x14ac:dyDescent="0.25">
      <c r="A13" t="s">
        <v>80</v>
      </c>
      <c r="B13">
        <v>35</v>
      </c>
      <c r="C13">
        <v>1.0713184814349443</v>
      </c>
      <c r="D13">
        <v>3.0609099469569839E-2</v>
      </c>
    </row>
    <row r="14" spans="1:9" ht="15.75" thickBot="1" x14ac:dyDescent="0.3">
      <c r="A14" s="21" t="s">
        <v>81</v>
      </c>
      <c r="B14" s="21">
        <v>39</v>
      </c>
      <c r="C14" s="21">
        <v>1.1635600000000004</v>
      </c>
      <c r="D14" s="21"/>
      <c r="E14" s="21"/>
      <c r="F14" s="21"/>
    </row>
    <row r="15" spans="1:9" ht="15.75" thickBot="1" x14ac:dyDescent="0.3"/>
    <row r="16" spans="1:9" x14ac:dyDescent="0.25">
      <c r="A16" s="22"/>
      <c r="B16" s="22" t="s">
        <v>88</v>
      </c>
      <c r="C16" s="22" t="s">
        <v>76</v>
      </c>
      <c r="D16" s="22" t="s">
        <v>89</v>
      </c>
      <c r="E16" s="22" t="s">
        <v>90</v>
      </c>
      <c r="F16" s="22" t="s">
        <v>91</v>
      </c>
      <c r="G16" s="22" t="s">
        <v>92</v>
      </c>
      <c r="H16" s="22" t="s">
        <v>93</v>
      </c>
      <c r="I16" s="22" t="s">
        <v>94</v>
      </c>
    </row>
    <row r="17" spans="1:9" x14ac:dyDescent="0.25">
      <c r="A17" t="s">
        <v>82</v>
      </c>
      <c r="B17">
        <v>0.50999964280371446</v>
      </c>
      <c r="C17">
        <v>0.37471284077271694</v>
      </c>
      <c r="D17">
        <v>1.3610412756392731</v>
      </c>
      <c r="E17">
        <v>0.18220012642153291</v>
      </c>
      <c r="F17">
        <v>-0.25070786606618689</v>
      </c>
      <c r="G17">
        <v>1.2707071516736157</v>
      </c>
      <c r="H17">
        <v>-0.25070786606618689</v>
      </c>
      <c r="I17">
        <v>1.2707071516736157</v>
      </c>
    </row>
    <row r="18" spans="1:9" x14ac:dyDescent="0.25">
      <c r="A18" t="s">
        <v>59</v>
      </c>
      <c r="B18">
        <v>4.2780973658592757E-2</v>
      </c>
      <c r="C18">
        <v>0.28741223969277258</v>
      </c>
      <c r="D18">
        <v>0.14884882322451959</v>
      </c>
      <c r="E18">
        <v>0.88252726544919535</v>
      </c>
      <c r="F18">
        <v>-0.54069689281789302</v>
      </c>
      <c r="G18">
        <v>0.6262588401350786</v>
      </c>
      <c r="H18">
        <v>-0.54069689281789302</v>
      </c>
      <c r="I18">
        <v>0.6262588401350786</v>
      </c>
    </row>
    <row r="19" spans="1:9" x14ac:dyDescent="0.25">
      <c r="A19" t="s">
        <v>104</v>
      </c>
      <c r="B19">
        <v>3.4520554536402607E-3</v>
      </c>
      <c r="C19">
        <v>2.2227456179919794E-2</v>
      </c>
      <c r="D19">
        <v>0.15530591650693865</v>
      </c>
      <c r="E19">
        <v>0.87747238575912212</v>
      </c>
      <c r="F19">
        <v>-4.1672079562052017E-2</v>
      </c>
      <c r="G19">
        <v>4.8576190469332536E-2</v>
      </c>
      <c r="H19">
        <v>-4.1672079562052017E-2</v>
      </c>
      <c r="I19">
        <v>4.8576190469332536E-2</v>
      </c>
    </row>
    <row r="20" spans="1:9" x14ac:dyDescent="0.25">
      <c r="A20" t="s">
        <v>117</v>
      </c>
      <c r="B20">
        <v>0.13205187976091576</v>
      </c>
      <c r="C20">
        <v>8.0676091060466193E-2</v>
      </c>
      <c r="D20">
        <v>1.6368155425619686</v>
      </c>
      <c r="E20">
        <v>0.11063080173464424</v>
      </c>
      <c r="F20">
        <v>-3.172929232118335E-2</v>
      </c>
      <c r="G20">
        <v>0.29583305184301489</v>
      </c>
      <c r="H20">
        <v>-3.172929232118335E-2</v>
      </c>
      <c r="I20">
        <v>0.29583305184301489</v>
      </c>
    </row>
    <row r="21" spans="1:9" ht="15.75" thickBot="1" x14ac:dyDescent="0.3">
      <c r="A21" s="21" t="s">
        <v>118</v>
      </c>
      <c r="B21" s="21">
        <v>9.8910928419802258E-2</v>
      </c>
      <c r="C21" s="21">
        <v>7.9489949391055068E-2</v>
      </c>
      <c r="D21" s="21">
        <v>1.2443199319854217</v>
      </c>
      <c r="E21" s="21">
        <v>0.22165050724199742</v>
      </c>
      <c r="F21" s="21">
        <v>-6.2462248055197234E-2</v>
      </c>
      <c r="G21" s="21">
        <v>0.26028410489480175</v>
      </c>
      <c r="H21" s="21">
        <v>-6.2462248055197234E-2</v>
      </c>
      <c r="I21" s="21">
        <v>0.26028410489480175</v>
      </c>
    </row>
    <row r="25" spans="1:9" x14ac:dyDescent="0.25">
      <c r="A25" t="s">
        <v>95</v>
      </c>
    </row>
    <row r="26" spans="1:9" ht="15.75" thickBot="1" x14ac:dyDescent="0.3"/>
    <row r="27" spans="1:9" x14ac:dyDescent="0.25">
      <c r="A27" s="22" t="s">
        <v>96</v>
      </c>
      <c r="B27" s="22" t="s">
        <v>98</v>
      </c>
      <c r="C27" s="22" t="s">
        <v>80</v>
      </c>
      <c r="D27" s="22" t="s">
        <v>119</v>
      </c>
    </row>
    <row r="28" spans="1:9" x14ac:dyDescent="0.25">
      <c r="A28">
        <v>1</v>
      </c>
      <c r="B28">
        <v>0.69514355534595196</v>
      </c>
      <c r="C28">
        <v>-6.5143555345951953E-2</v>
      </c>
      <c r="D28">
        <v>-0.39304697882616169</v>
      </c>
    </row>
    <row r="29" spans="1:9" x14ac:dyDescent="0.25">
      <c r="A29">
        <v>2</v>
      </c>
      <c r="B29">
        <v>0.73332121779099602</v>
      </c>
      <c r="C29">
        <v>9.6678782209003944E-2</v>
      </c>
      <c r="D29">
        <v>0.58331638581962608</v>
      </c>
    </row>
    <row r="30" spans="1:9" x14ac:dyDescent="0.25">
      <c r="A30">
        <v>3</v>
      </c>
      <c r="B30">
        <v>0.74301687601424726</v>
      </c>
      <c r="C30">
        <v>-6.3016876014247214E-2</v>
      </c>
      <c r="D30">
        <v>-0.3802155501173734</v>
      </c>
    </row>
    <row r="31" spans="1:9" x14ac:dyDescent="0.25">
      <c r="A31">
        <v>4</v>
      </c>
      <c r="B31">
        <v>0.72651559669275168</v>
      </c>
      <c r="C31">
        <v>-0.3765155966927517</v>
      </c>
      <c r="D31">
        <v>-2.2717261435165383</v>
      </c>
    </row>
    <row r="32" spans="1:9" x14ac:dyDescent="0.25">
      <c r="A32">
        <v>5</v>
      </c>
      <c r="B32">
        <v>0.70892795087438931</v>
      </c>
      <c r="C32">
        <v>0.15107204912561067</v>
      </c>
      <c r="D32">
        <v>0.91150094861361541</v>
      </c>
    </row>
    <row r="33" spans="1:4" x14ac:dyDescent="0.25">
      <c r="A33">
        <v>6</v>
      </c>
      <c r="B33">
        <v>0.71810824257316908</v>
      </c>
      <c r="C33">
        <v>-0.14810824257316912</v>
      </c>
      <c r="D33">
        <v>-0.89361866992808892</v>
      </c>
    </row>
    <row r="34" spans="1:4" x14ac:dyDescent="0.25">
      <c r="A34">
        <v>7</v>
      </c>
      <c r="B34">
        <v>0.83290797161413455</v>
      </c>
      <c r="C34">
        <v>4.7092028385865459E-2</v>
      </c>
      <c r="D34">
        <v>0.28413216603797858</v>
      </c>
    </row>
    <row r="35" spans="1:4" x14ac:dyDescent="0.25">
      <c r="A35">
        <v>8</v>
      </c>
      <c r="B35">
        <v>0.70202894861611864</v>
      </c>
      <c r="C35">
        <v>0.11797105138388131</v>
      </c>
      <c r="D35">
        <v>0.71178438280098832</v>
      </c>
    </row>
    <row r="36" spans="1:4" x14ac:dyDescent="0.25">
      <c r="A36">
        <v>9</v>
      </c>
      <c r="B36">
        <v>0.70480601033158874</v>
      </c>
      <c r="C36">
        <v>0.28519398966841125</v>
      </c>
      <c r="D36">
        <v>1.7207325486497909</v>
      </c>
    </row>
    <row r="37" spans="1:4" x14ac:dyDescent="0.25">
      <c r="A37">
        <v>10</v>
      </c>
      <c r="B37">
        <v>0.74247766708472174</v>
      </c>
      <c r="C37">
        <v>-0.22247766708472172</v>
      </c>
      <c r="D37">
        <v>-1.3423304030546175</v>
      </c>
    </row>
    <row r="38" spans="1:4" x14ac:dyDescent="0.25">
      <c r="A38">
        <v>11</v>
      </c>
      <c r="B38">
        <v>0.72184120945526464</v>
      </c>
      <c r="C38">
        <v>-0.15184120945526469</v>
      </c>
      <c r="D38">
        <v>-0.91614171687070489</v>
      </c>
    </row>
    <row r="39" spans="1:4" x14ac:dyDescent="0.25">
      <c r="A39">
        <v>12</v>
      </c>
      <c r="B39">
        <v>0.74140944507336282</v>
      </c>
      <c r="C39">
        <v>7.8590554926637135E-2</v>
      </c>
      <c r="D39">
        <v>0.47418013975661444</v>
      </c>
    </row>
    <row r="40" spans="1:4" x14ac:dyDescent="0.25">
      <c r="A40">
        <v>13</v>
      </c>
      <c r="B40">
        <v>0.70029899790125349</v>
      </c>
      <c r="C40">
        <v>-4.0298997901253464E-2</v>
      </c>
      <c r="D40">
        <v>-0.24314606856645524</v>
      </c>
    </row>
    <row r="41" spans="1:4" x14ac:dyDescent="0.25">
      <c r="A41">
        <v>14</v>
      </c>
      <c r="B41">
        <v>0.69547343019901886</v>
      </c>
      <c r="C41">
        <v>1.4526569800981104E-2</v>
      </c>
      <c r="D41">
        <v>8.7646803166658585E-2</v>
      </c>
    </row>
    <row r="42" spans="1:4" x14ac:dyDescent="0.25">
      <c r="A42">
        <v>15</v>
      </c>
      <c r="B42">
        <v>0.83670576428463161</v>
      </c>
      <c r="C42">
        <v>4.329423571536839E-2</v>
      </c>
      <c r="D42">
        <v>0.26121798937967661</v>
      </c>
    </row>
    <row r="43" spans="1:4" x14ac:dyDescent="0.25">
      <c r="A43">
        <v>16</v>
      </c>
      <c r="B43">
        <v>0.72978292079501772</v>
      </c>
      <c r="C43">
        <v>0.24021707920498225</v>
      </c>
      <c r="D43">
        <v>1.4493620549654289</v>
      </c>
    </row>
    <row r="44" spans="1:4" x14ac:dyDescent="0.25">
      <c r="A44">
        <v>17</v>
      </c>
      <c r="B44">
        <v>0.69051352989583514</v>
      </c>
      <c r="C44">
        <v>-0.25051352989583514</v>
      </c>
      <c r="D44">
        <v>-1.5114862177499175</v>
      </c>
    </row>
    <row r="45" spans="1:4" x14ac:dyDescent="0.25">
      <c r="A45">
        <v>18</v>
      </c>
      <c r="B45">
        <v>0.82943752556021999</v>
      </c>
      <c r="C45">
        <v>-0.18943752556021998</v>
      </c>
      <c r="D45">
        <v>-1.1429810163466168</v>
      </c>
    </row>
    <row r="46" spans="1:4" x14ac:dyDescent="0.25">
      <c r="A46">
        <v>19</v>
      </c>
      <c r="B46">
        <v>0.84016877306146887</v>
      </c>
      <c r="C46">
        <v>7.9831226938531175E-2</v>
      </c>
      <c r="D46">
        <v>0.48166579790651814</v>
      </c>
    </row>
    <row r="47" spans="1:4" x14ac:dyDescent="0.25">
      <c r="A47">
        <v>20</v>
      </c>
      <c r="B47">
        <v>0.73783358114574504</v>
      </c>
      <c r="C47">
        <v>0.16216641885425498</v>
      </c>
      <c r="D47">
        <v>0.97843939679420022</v>
      </c>
    </row>
    <row r="48" spans="1:4" x14ac:dyDescent="0.25">
      <c r="A48">
        <v>21</v>
      </c>
      <c r="B48">
        <v>0.7336075664331605</v>
      </c>
      <c r="C48">
        <v>0.24639243356683949</v>
      </c>
      <c r="D48">
        <v>1.4866213719035206</v>
      </c>
    </row>
    <row r="49" spans="1:4" x14ac:dyDescent="0.25">
      <c r="A49">
        <v>22</v>
      </c>
      <c r="B49">
        <v>0.84443553512445191</v>
      </c>
      <c r="C49">
        <v>0.10556446487554805</v>
      </c>
      <c r="D49">
        <v>0.63692860744839497</v>
      </c>
    </row>
    <row r="50" spans="1:4" x14ac:dyDescent="0.25">
      <c r="A50">
        <v>23</v>
      </c>
      <c r="B50">
        <v>0.73218788750757069</v>
      </c>
      <c r="C50">
        <v>0.17781211249242934</v>
      </c>
      <c r="D50">
        <v>1.0728384909711541</v>
      </c>
    </row>
    <row r="51" spans="1:4" x14ac:dyDescent="0.25">
      <c r="A51">
        <v>24</v>
      </c>
      <c r="B51">
        <v>0.70257767144968586</v>
      </c>
      <c r="C51">
        <v>0.19742232855031416</v>
      </c>
      <c r="D51">
        <v>1.1911577342907296</v>
      </c>
    </row>
    <row r="52" spans="1:4" x14ac:dyDescent="0.25">
      <c r="A52">
        <v>25</v>
      </c>
      <c r="B52">
        <v>0.72788456004543267</v>
      </c>
      <c r="C52">
        <v>0.10211543995456729</v>
      </c>
      <c r="D52">
        <v>0.61611873887600266</v>
      </c>
    </row>
    <row r="53" spans="1:4" x14ac:dyDescent="0.25">
      <c r="A53">
        <v>26</v>
      </c>
      <c r="B53">
        <v>0.69927075473485401</v>
      </c>
      <c r="C53">
        <v>-0.10927075473485404</v>
      </c>
      <c r="D53">
        <v>-0.65929069720720612</v>
      </c>
    </row>
    <row r="54" spans="1:4" x14ac:dyDescent="0.25">
      <c r="A54">
        <v>27</v>
      </c>
      <c r="B54">
        <v>0.7450324296739208</v>
      </c>
      <c r="C54">
        <v>-0.2450324296739208</v>
      </c>
      <c r="D54">
        <v>-1.4784157187354559</v>
      </c>
    </row>
    <row r="55" spans="1:4" x14ac:dyDescent="0.25">
      <c r="A55">
        <v>28</v>
      </c>
      <c r="B55">
        <v>0.72924630479644903</v>
      </c>
      <c r="C55">
        <v>-0.25924630479644906</v>
      </c>
      <c r="D55">
        <v>-1.564175862538679</v>
      </c>
    </row>
    <row r="56" spans="1:4" x14ac:dyDescent="0.25">
      <c r="A56">
        <v>29</v>
      </c>
      <c r="B56">
        <v>0.7408447194792509</v>
      </c>
      <c r="C56">
        <v>0.2591552805207491</v>
      </c>
      <c r="D56">
        <v>1.5636266629075919</v>
      </c>
    </row>
    <row r="57" spans="1:4" x14ac:dyDescent="0.25">
      <c r="A57">
        <v>30</v>
      </c>
      <c r="B57">
        <v>0.73842814795028255</v>
      </c>
      <c r="C57">
        <v>0.11157185204971742</v>
      </c>
      <c r="D57">
        <v>0.67317448575373118</v>
      </c>
    </row>
    <row r="58" spans="1:4" x14ac:dyDescent="0.25">
      <c r="A58">
        <v>31</v>
      </c>
      <c r="B58">
        <v>0.72051623424028244</v>
      </c>
      <c r="C58">
        <v>-2.0516234240282483E-2</v>
      </c>
      <c r="D58">
        <v>-0.12378575044313994</v>
      </c>
    </row>
    <row r="59" spans="1:4" x14ac:dyDescent="0.25">
      <c r="A59">
        <v>32</v>
      </c>
      <c r="B59">
        <v>0.74666525629806491</v>
      </c>
      <c r="C59">
        <v>-0.24666525629806491</v>
      </c>
      <c r="D59">
        <v>-1.4882674618305101</v>
      </c>
    </row>
    <row r="60" spans="1:4" x14ac:dyDescent="0.25">
      <c r="A60">
        <v>33</v>
      </c>
      <c r="B60">
        <v>0.73932237447593163</v>
      </c>
      <c r="C60">
        <v>4.0677625524068395E-2</v>
      </c>
      <c r="D60">
        <v>0.24543053772779014</v>
      </c>
    </row>
    <row r="61" spans="1:4" x14ac:dyDescent="0.25">
      <c r="A61">
        <v>34</v>
      </c>
      <c r="B61">
        <v>0.69087032184420272</v>
      </c>
      <c r="C61">
        <v>-5.0870321844202704E-2</v>
      </c>
      <c r="D61">
        <v>-0.30692869320066724</v>
      </c>
    </row>
    <row r="62" spans="1:4" x14ac:dyDescent="0.25">
      <c r="A62">
        <v>35</v>
      </c>
      <c r="B62">
        <v>0.73242344874309118</v>
      </c>
      <c r="C62">
        <v>-0.10242344874309117</v>
      </c>
      <c r="D62">
        <v>-0.61797712568246888</v>
      </c>
    </row>
    <row r="63" spans="1:4" x14ac:dyDescent="0.25">
      <c r="A63">
        <v>36</v>
      </c>
      <c r="B63">
        <v>0.84239773832050324</v>
      </c>
      <c r="C63">
        <v>1.7602261679496745E-2</v>
      </c>
      <c r="D63">
        <v>0.1062041476995258</v>
      </c>
    </row>
    <row r="64" spans="1:4" x14ac:dyDescent="0.25">
      <c r="A64">
        <v>37</v>
      </c>
      <c r="B64">
        <v>0.70456828153341799</v>
      </c>
      <c r="C64">
        <v>-2.4568281533417946E-2</v>
      </c>
      <c r="D64">
        <v>-0.14823398539392985</v>
      </c>
    </row>
    <row r="65" spans="1:4" x14ac:dyDescent="0.25">
      <c r="A65">
        <v>38</v>
      </c>
      <c r="B65">
        <v>0.701358125893081</v>
      </c>
      <c r="C65">
        <v>0.17864187410691901</v>
      </c>
      <c r="D65">
        <v>1.0778449001852215</v>
      </c>
    </row>
    <row r="66" spans="1:4" x14ac:dyDescent="0.25">
      <c r="A66">
        <v>39</v>
      </c>
      <c r="B66">
        <v>0.84394669203458794</v>
      </c>
      <c r="C66">
        <v>-0.10394669203458795</v>
      </c>
      <c r="D66">
        <v>-0.62716769212546586</v>
      </c>
    </row>
    <row r="67" spans="1:4" ht="15.75" thickBot="1" x14ac:dyDescent="0.3">
      <c r="A67" s="21">
        <v>40</v>
      </c>
      <c r="B67" s="21">
        <v>0.6936967351118819</v>
      </c>
      <c r="C67" s="21">
        <v>-8.3696735111881915E-2</v>
      </c>
      <c r="D67" s="21">
        <v>-0.50498853952070843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2B8A-7C92-48E5-B92D-C49249EDE06B}">
  <dimension ref="A1:I67"/>
  <sheetViews>
    <sheetView workbookViewId="0">
      <selection sqref="A1:I67"/>
    </sheetView>
  </sheetViews>
  <sheetFormatPr baseColWidth="10" defaultRowHeight="15" x14ac:dyDescent="0.25"/>
  <cols>
    <col min="1" max="1" width="34" bestFit="1" customWidth="1"/>
    <col min="2" max="2" width="48.42578125" bestFit="1" customWidth="1"/>
    <col min="3" max="3" width="18.140625" bestFit="1" customWidth="1"/>
    <col min="4" max="4" width="19.28515625" bestFit="1" customWidth="1"/>
    <col min="5" max="5" width="12" bestFit="1" customWidth="1"/>
    <col min="6" max="6" width="42.5703125" bestFit="1" customWidth="1"/>
    <col min="7" max="7" width="43.7109375" bestFit="1" customWidth="1"/>
    <col min="8" max="8" width="44.5703125" bestFit="1" customWidth="1"/>
    <col min="9" max="9" width="45.7109375" bestFit="1" customWidth="1"/>
  </cols>
  <sheetData>
    <row r="1" spans="1:9" x14ac:dyDescent="0.25">
      <c r="A1" t="s">
        <v>72</v>
      </c>
    </row>
    <row r="2" spans="1:9" ht="15.75" thickBot="1" x14ac:dyDescent="0.3"/>
    <row r="3" spans="1:9" x14ac:dyDescent="0.25">
      <c r="A3" s="23" t="s">
        <v>73</v>
      </c>
      <c r="B3" s="23"/>
    </row>
    <row r="4" spans="1:9" x14ac:dyDescent="0.25">
      <c r="A4" t="s">
        <v>74</v>
      </c>
      <c r="B4">
        <v>0.48348920720670696</v>
      </c>
    </row>
    <row r="5" spans="1:9" x14ac:dyDescent="0.25">
      <c r="A5" t="s">
        <v>75</v>
      </c>
      <c r="B5">
        <v>0.23376181348537003</v>
      </c>
    </row>
    <row r="6" spans="1:9" x14ac:dyDescent="0.25">
      <c r="A6" t="s">
        <v>75</v>
      </c>
      <c r="B6">
        <v>0.14619173502655519</v>
      </c>
    </row>
    <row r="7" spans="1:9" x14ac:dyDescent="0.25">
      <c r="A7" t="s">
        <v>76</v>
      </c>
      <c r="B7">
        <v>0.15960344646305311</v>
      </c>
    </row>
    <row r="8" spans="1:9" ht="15.75" thickBot="1" x14ac:dyDescent="0.3">
      <c r="A8" s="21" t="s">
        <v>77</v>
      </c>
      <c r="B8" s="21">
        <v>40</v>
      </c>
    </row>
    <row r="10" spans="1:9" ht="15.75" thickBot="1" x14ac:dyDescent="0.3">
      <c r="A10" t="s">
        <v>78</v>
      </c>
    </row>
    <row r="11" spans="1:9" x14ac:dyDescent="0.25">
      <c r="A11" s="22"/>
      <c r="B11" s="22" t="s">
        <v>83</v>
      </c>
      <c r="C11" s="22" t="s">
        <v>84</v>
      </c>
      <c r="D11" s="22" t="s">
        <v>85</v>
      </c>
      <c r="E11" s="22" t="s">
        <v>86</v>
      </c>
      <c r="F11" s="22" t="s">
        <v>87</v>
      </c>
    </row>
    <row r="12" spans="1:9" x14ac:dyDescent="0.25">
      <c r="A12" t="s">
        <v>79</v>
      </c>
      <c r="B12">
        <v>4</v>
      </c>
      <c r="C12">
        <v>0.27199589569903726</v>
      </c>
      <c r="D12">
        <v>6.7998973924759315E-2</v>
      </c>
      <c r="E12">
        <v>2.6694256485713979</v>
      </c>
      <c r="F12">
        <v>4.8211994682268E-2</v>
      </c>
    </row>
    <row r="13" spans="1:9" x14ac:dyDescent="0.25">
      <c r="A13" t="s">
        <v>80</v>
      </c>
      <c r="B13">
        <v>35</v>
      </c>
      <c r="C13">
        <v>0.89156410430096311</v>
      </c>
      <c r="D13">
        <v>2.5473260122884662E-2</v>
      </c>
    </row>
    <row r="14" spans="1:9" ht="15.75" thickBot="1" x14ac:dyDescent="0.3">
      <c r="A14" s="21" t="s">
        <v>81</v>
      </c>
      <c r="B14" s="21">
        <v>39</v>
      </c>
      <c r="C14" s="21">
        <v>1.1635600000000004</v>
      </c>
      <c r="D14" s="21"/>
      <c r="E14" s="21"/>
      <c r="F14" s="21"/>
    </row>
    <row r="15" spans="1:9" ht="15.75" thickBot="1" x14ac:dyDescent="0.3"/>
    <row r="16" spans="1:9" x14ac:dyDescent="0.25">
      <c r="A16" s="22"/>
      <c r="B16" s="22" t="s">
        <v>88</v>
      </c>
      <c r="C16" s="22" t="s">
        <v>76</v>
      </c>
      <c r="D16" s="22" t="s">
        <v>89</v>
      </c>
      <c r="E16" s="22" t="s">
        <v>90</v>
      </c>
      <c r="F16" s="22" t="s">
        <v>91</v>
      </c>
      <c r="G16" s="22" t="s">
        <v>92</v>
      </c>
      <c r="H16" s="22" t="s">
        <v>93</v>
      </c>
      <c r="I16" s="22" t="s">
        <v>94</v>
      </c>
    </row>
    <row r="17" spans="1:9" x14ac:dyDescent="0.25">
      <c r="A17" t="s">
        <v>82</v>
      </c>
      <c r="B17">
        <v>-0.1883111886366729</v>
      </c>
      <c r="C17">
        <v>0.42982869258140921</v>
      </c>
      <c r="D17">
        <v>-0.438107534203308</v>
      </c>
      <c r="E17">
        <v>0.66400046623282227</v>
      </c>
      <c r="F17">
        <v>-1.0609098252356715</v>
      </c>
      <c r="G17">
        <v>0.68428744796232577</v>
      </c>
      <c r="H17">
        <v>-1.0609098252356715</v>
      </c>
      <c r="I17">
        <v>0.68428744796232577</v>
      </c>
    </row>
    <row r="18" spans="1:9" x14ac:dyDescent="0.25">
      <c r="A18" t="s">
        <v>60</v>
      </c>
      <c r="B18">
        <v>0.73361467640035671</v>
      </c>
      <c r="C18">
        <v>0.2756467212687031</v>
      </c>
      <c r="D18">
        <v>2.6614308090580261</v>
      </c>
      <c r="E18">
        <v>1.1669117032913349E-2</v>
      </c>
      <c r="F18">
        <v>0.17402208215654991</v>
      </c>
      <c r="G18">
        <v>1.2932072706441635</v>
      </c>
      <c r="H18">
        <v>0.17402208215654991</v>
      </c>
      <c r="I18">
        <v>1.2932072706441635</v>
      </c>
    </row>
    <row r="19" spans="1:9" x14ac:dyDescent="0.25">
      <c r="A19" t="s">
        <v>104</v>
      </c>
      <c r="B19">
        <v>1.226850609168338E-2</v>
      </c>
      <c r="C19">
        <v>1.8935251780148519E-2</v>
      </c>
      <c r="D19">
        <v>0.64791882538079204</v>
      </c>
      <c r="E19">
        <v>0.52126543369953671</v>
      </c>
      <c r="F19">
        <v>-2.6172098670612563E-2</v>
      </c>
      <c r="G19">
        <v>5.0709110853979326E-2</v>
      </c>
      <c r="H19">
        <v>-2.6172098670612563E-2</v>
      </c>
      <c r="I19">
        <v>5.0709110853979326E-2</v>
      </c>
    </row>
    <row r="20" spans="1:9" x14ac:dyDescent="0.25">
      <c r="A20" t="s">
        <v>117</v>
      </c>
      <c r="B20">
        <v>0.11948943285587381</v>
      </c>
      <c r="C20">
        <v>7.2732035473282691E-2</v>
      </c>
      <c r="D20">
        <v>1.6428721137574505</v>
      </c>
      <c r="E20">
        <v>0.10936487135607095</v>
      </c>
      <c r="F20">
        <v>-2.8164448996222627E-2</v>
      </c>
      <c r="G20">
        <v>0.26714331470797026</v>
      </c>
      <c r="H20">
        <v>-2.8164448996222627E-2</v>
      </c>
      <c r="I20">
        <v>0.26714331470797026</v>
      </c>
    </row>
    <row r="21" spans="1:9" ht="15.75" thickBot="1" x14ac:dyDescent="0.3">
      <c r="A21" s="21" t="s">
        <v>118</v>
      </c>
      <c r="B21" s="21">
        <v>0.10571602845121475</v>
      </c>
      <c r="C21" s="21">
        <v>7.247579353210519E-2</v>
      </c>
      <c r="D21" s="21">
        <v>1.458639130379233</v>
      </c>
      <c r="E21" s="21">
        <v>0.15358096212994682</v>
      </c>
      <c r="F21" s="21">
        <v>-4.1417654604546994E-2</v>
      </c>
      <c r="G21" s="21">
        <v>0.25284971150697649</v>
      </c>
      <c r="H21" s="21">
        <v>-4.1417654604546994E-2</v>
      </c>
      <c r="I21" s="21">
        <v>0.25284971150697649</v>
      </c>
    </row>
    <row r="25" spans="1:9" x14ac:dyDescent="0.25">
      <c r="A25" t="s">
        <v>95</v>
      </c>
    </row>
    <row r="26" spans="1:9" ht="15.75" thickBot="1" x14ac:dyDescent="0.3"/>
    <row r="27" spans="1:9" x14ac:dyDescent="0.25">
      <c r="A27" s="22" t="s">
        <v>96</v>
      </c>
      <c r="B27" s="22" t="s">
        <v>98</v>
      </c>
      <c r="C27" s="22" t="s">
        <v>80</v>
      </c>
      <c r="D27" s="22" t="s">
        <v>119</v>
      </c>
    </row>
    <row r="28" spans="1:9" x14ac:dyDescent="0.25">
      <c r="A28">
        <v>1</v>
      </c>
      <c r="B28">
        <v>0.63097501854165616</v>
      </c>
      <c r="C28">
        <v>-9.7501854165615853E-4</v>
      </c>
      <c r="D28">
        <v>-6.4486512541495952E-3</v>
      </c>
    </row>
    <row r="29" spans="1:9" x14ac:dyDescent="0.25">
      <c r="A29">
        <v>2</v>
      </c>
      <c r="B29">
        <v>0.73601021741785</v>
      </c>
      <c r="C29">
        <v>9.3989782582149961E-2</v>
      </c>
      <c r="D29">
        <v>0.6216367211808097</v>
      </c>
    </row>
    <row r="30" spans="1:9" x14ac:dyDescent="0.25">
      <c r="A30">
        <v>3</v>
      </c>
      <c r="B30">
        <v>0.74005983799169628</v>
      </c>
      <c r="C30">
        <v>-6.005983799169623E-2</v>
      </c>
      <c r="D30">
        <v>-0.39722829160899892</v>
      </c>
    </row>
    <row r="31" spans="1:9" x14ac:dyDescent="0.25">
      <c r="A31">
        <v>4</v>
      </c>
      <c r="B31">
        <v>0.65366600291175825</v>
      </c>
      <c r="C31">
        <v>-0.30366600291175827</v>
      </c>
      <c r="D31">
        <v>-2.0084091397823682</v>
      </c>
    </row>
    <row r="32" spans="1:9" x14ac:dyDescent="0.25">
      <c r="A32">
        <v>5</v>
      </c>
      <c r="B32">
        <v>0.6799643649707442</v>
      </c>
      <c r="C32">
        <v>0.18003563502925579</v>
      </c>
      <c r="D32">
        <v>1.190733277390793</v>
      </c>
    </row>
    <row r="33" spans="1:4" x14ac:dyDescent="0.25">
      <c r="A33">
        <v>6</v>
      </c>
      <c r="B33">
        <v>0.77074809069548977</v>
      </c>
      <c r="C33">
        <v>-0.20074809069548982</v>
      </c>
      <c r="D33">
        <v>-1.3277228806671588</v>
      </c>
    </row>
    <row r="34" spans="1:4" x14ac:dyDescent="0.25">
      <c r="A34">
        <v>7</v>
      </c>
      <c r="B34">
        <v>0.84412810997266874</v>
      </c>
      <c r="C34">
        <v>3.5871890027331266E-2</v>
      </c>
      <c r="D34">
        <v>0.23725221493792195</v>
      </c>
    </row>
    <row r="35" spans="1:4" x14ac:dyDescent="0.25">
      <c r="A35">
        <v>8</v>
      </c>
      <c r="B35">
        <v>0.71360274105922639</v>
      </c>
      <c r="C35">
        <v>0.10639725894077356</v>
      </c>
      <c r="D35">
        <v>0.70369822520612058</v>
      </c>
    </row>
    <row r="36" spans="1:4" x14ac:dyDescent="0.25">
      <c r="A36">
        <v>9</v>
      </c>
      <c r="B36">
        <v>0.72347233876145889</v>
      </c>
      <c r="C36">
        <v>0.2665276612385411</v>
      </c>
      <c r="D36">
        <v>1.7627807713195198</v>
      </c>
    </row>
    <row r="37" spans="1:4" x14ac:dyDescent="0.25">
      <c r="A37">
        <v>10</v>
      </c>
      <c r="B37">
        <v>0.73814350491842573</v>
      </c>
      <c r="C37">
        <v>-0.21814350491842571</v>
      </c>
      <c r="D37">
        <v>-1.4427739847770811</v>
      </c>
    </row>
    <row r="38" spans="1:4" x14ac:dyDescent="0.25">
      <c r="A38">
        <v>11</v>
      </c>
      <c r="B38">
        <v>0.62208777730819131</v>
      </c>
      <c r="C38">
        <v>-5.2087777308191363E-2</v>
      </c>
      <c r="D38">
        <v>-0.34450207469263405</v>
      </c>
    </row>
    <row r="39" spans="1:4" x14ac:dyDescent="0.25">
      <c r="A39">
        <v>12</v>
      </c>
      <c r="B39">
        <v>0.80770854216224464</v>
      </c>
      <c r="C39">
        <v>1.2291457837755315E-2</v>
      </c>
      <c r="D39">
        <v>8.1294171971470042E-2</v>
      </c>
    </row>
    <row r="40" spans="1:4" x14ac:dyDescent="0.25">
      <c r="A40">
        <v>13</v>
      </c>
      <c r="B40">
        <v>0.78081601346640384</v>
      </c>
      <c r="C40">
        <v>-0.1208160134664038</v>
      </c>
      <c r="D40">
        <v>-0.79906207264336304</v>
      </c>
    </row>
    <row r="41" spans="1:4" x14ac:dyDescent="0.25">
      <c r="A41">
        <v>14</v>
      </c>
      <c r="B41">
        <v>0.70550885195005619</v>
      </c>
      <c r="C41">
        <v>4.4911480499437717E-3</v>
      </c>
      <c r="D41">
        <v>2.9703894097897927E-2</v>
      </c>
    </row>
    <row r="42" spans="1:4" x14ac:dyDescent="0.25">
      <c r="A42">
        <v>15</v>
      </c>
      <c r="B42">
        <v>0.85762535621875924</v>
      </c>
      <c r="C42">
        <v>2.2374643781240766E-2</v>
      </c>
      <c r="D42">
        <v>0.14798310854270033</v>
      </c>
    </row>
    <row r="43" spans="1:4" x14ac:dyDescent="0.25">
      <c r="A43">
        <v>16</v>
      </c>
      <c r="B43">
        <v>0.73863944671801762</v>
      </c>
      <c r="C43">
        <v>0.23136055328198235</v>
      </c>
      <c r="D43">
        <v>1.5301898972591461</v>
      </c>
    </row>
    <row r="44" spans="1:4" x14ac:dyDescent="0.25">
      <c r="A44">
        <v>17</v>
      </c>
      <c r="B44">
        <v>0.62972427622203486</v>
      </c>
      <c r="C44">
        <v>-0.18972427622203486</v>
      </c>
      <c r="D44">
        <v>-1.2548127440978512</v>
      </c>
    </row>
    <row r="45" spans="1:4" x14ac:dyDescent="0.25">
      <c r="A45">
        <v>18</v>
      </c>
      <c r="B45">
        <v>0.6850713089349042</v>
      </c>
      <c r="C45">
        <v>-4.5071308934904186E-2</v>
      </c>
      <c r="D45">
        <v>-0.2980960263540624</v>
      </c>
    </row>
    <row r="46" spans="1:4" x14ac:dyDescent="0.25">
      <c r="A46">
        <v>19</v>
      </c>
      <c r="B46">
        <v>0.91288578702647949</v>
      </c>
      <c r="C46">
        <v>7.1142129735205506E-3</v>
      </c>
      <c r="D46">
        <v>4.7052518956259219E-2</v>
      </c>
    </row>
    <row r="47" spans="1:4" x14ac:dyDescent="0.25">
      <c r="A47">
        <v>20</v>
      </c>
      <c r="B47">
        <v>0.7216385566643202</v>
      </c>
      <c r="C47">
        <v>0.17836144333567983</v>
      </c>
      <c r="D47">
        <v>1.179660381950131</v>
      </c>
    </row>
    <row r="48" spans="1:4" x14ac:dyDescent="0.25">
      <c r="A48">
        <v>21</v>
      </c>
      <c r="B48">
        <v>0.81038935992085381</v>
      </c>
      <c r="C48">
        <v>0.16961064007914617</v>
      </c>
      <c r="D48">
        <v>1.121783658601661</v>
      </c>
    </row>
    <row r="49" spans="1:4" x14ac:dyDescent="0.25">
      <c r="A49">
        <v>22</v>
      </c>
      <c r="B49">
        <v>0.92804973704537852</v>
      </c>
      <c r="C49">
        <v>2.1950262954621436E-2</v>
      </c>
      <c r="D49">
        <v>0.14517630658674238</v>
      </c>
    </row>
    <row r="50" spans="1:4" x14ac:dyDescent="0.25">
      <c r="A50">
        <v>23</v>
      </c>
      <c r="B50">
        <v>0.80534386172977834</v>
      </c>
      <c r="C50">
        <v>0.10465613827022169</v>
      </c>
      <c r="D50">
        <v>0.6921826698437491</v>
      </c>
    </row>
    <row r="51" spans="1:4" x14ac:dyDescent="0.25">
      <c r="A51">
        <v>24</v>
      </c>
      <c r="B51">
        <v>0.73075712163491535</v>
      </c>
      <c r="C51">
        <v>0.16924287836508467</v>
      </c>
      <c r="D51">
        <v>1.1193513284076295</v>
      </c>
    </row>
    <row r="52" spans="1:4" x14ac:dyDescent="0.25">
      <c r="A52">
        <v>25</v>
      </c>
      <c r="B52">
        <v>0.51180832413095478</v>
      </c>
      <c r="C52">
        <v>0.31819167586904518</v>
      </c>
      <c r="D52">
        <v>2.104480132416279</v>
      </c>
    </row>
    <row r="53" spans="1:4" x14ac:dyDescent="0.25">
      <c r="A53">
        <v>26</v>
      </c>
      <c r="B53">
        <v>0.71900443445898288</v>
      </c>
      <c r="C53">
        <v>-0.12900443445898291</v>
      </c>
      <c r="D53">
        <v>-0.85321926970918216</v>
      </c>
    </row>
    <row r="54" spans="1:4" x14ac:dyDescent="0.25">
      <c r="A54">
        <v>27</v>
      </c>
      <c r="B54">
        <v>0.67386159026046699</v>
      </c>
      <c r="C54">
        <v>-0.17386159026046699</v>
      </c>
      <c r="D54">
        <v>-1.1498989138987947</v>
      </c>
    </row>
    <row r="55" spans="1:4" x14ac:dyDescent="0.25">
      <c r="A55">
        <v>28</v>
      </c>
      <c r="B55">
        <v>0.66337086120697808</v>
      </c>
      <c r="C55">
        <v>-0.19337086120697811</v>
      </c>
      <c r="D55">
        <v>-1.2789308032237567</v>
      </c>
    </row>
    <row r="56" spans="1:4" x14ac:dyDescent="0.25">
      <c r="A56">
        <v>29</v>
      </c>
      <c r="B56">
        <v>0.82090575895501838</v>
      </c>
      <c r="C56">
        <v>0.17909424104498162</v>
      </c>
      <c r="D56">
        <v>1.1845070147732362</v>
      </c>
    </row>
    <row r="57" spans="1:4" x14ac:dyDescent="0.25">
      <c r="A57">
        <v>30</v>
      </c>
      <c r="B57">
        <v>0.81231733303825804</v>
      </c>
      <c r="C57">
        <v>3.768266696174194E-2</v>
      </c>
      <c r="D57">
        <v>0.24922846815792529</v>
      </c>
    </row>
    <row r="58" spans="1:4" x14ac:dyDescent="0.25">
      <c r="A58">
        <v>31</v>
      </c>
      <c r="B58">
        <v>0.69074032102894389</v>
      </c>
      <c r="C58">
        <v>9.2596789710560623E-3</v>
      </c>
      <c r="D58">
        <v>6.1242363974223758E-2</v>
      </c>
    </row>
    <row r="59" spans="1:4" x14ac:dyDescent="0.25">
      <c r="A59">
        <v>32</v>
      </c>
      <c r="B59">
        <v>0.75302607690005252</v>
      </c>
      <c r="C59">
        <v>-0.25302607690005252</v>
      </c>
      <c r="D59">
        <v>-1.6734829733212278</v>
      </c>
    </row>
    <row r="60" spans="1:4" x14ac:dyDescent="0.25">
      <c r="A60">
        <v>33</v>
      </c>
      <c r="B60">
        <v>0.8002911531074548</v>
      </c>
      <c r="C60">
        <v>-2.0291153107454774E-2</v>
      </c>
      <c r="D60">
        <v>-0.13420316060068763</v>
      </c>
    </row>
    <row r="61" spans="1:4" x14ac:dyDescent="0.25">
      <c r="A61">
        <v>34</v>
      </c>
      <c r="B61">
        <v>0.70435377221526385</v>
      </c>
      <c r="C61">
        <v>-6.4353772215263838E-2</v>
      </c>
      <c r="D61">
        <v>-0.42562783801045601</v>
      </c>
    </row>
    <row r="62" spans="1:4" x14ac:dyDescent="0.25">
      <c r="A62">
        <v>35</v>
      </c>
      <c r="B62">
        <v>0.73281957196586855</v>
      </c>
      <c r="C62">
        <v>-0.10281957196586855</v>
      </c>
      <c r="D62">
        <v>-0.68003584894147306</v>
      </c>
    </row>
    <row r="63" spans="1:4" x14ac:dyDescent="0.25">
      <c r="A63">
        <v>36</v>
      </c>
      <c r="B63">
        <v>0.86265023335989599</v>
      </c>
      <c r="C63">
        <v>-2.6502333598960037E-3</v>
      </c>
      <c r="D63">
        <v>-1.7528313513969482E-2</v>
      </c>
    </row>
    <row r="64" spans="1:4" x14ac:dyDescent="0.25">
      <c r="A64">
        <v>37</v>
      </c>
      <c r="B64">
        <v>0.79598892506986652</v>
      </c>
      <c r="C64">
        <v>-0.11598892506986647</v>
      </c>
      <c r="D64">
        <v>-0.76713631091441448</v>
      </c>
    </row>
    <row r="65" spans="1:4" x14ac:dyDescent="0.25">
      <c r="A65">
        <v>38</v>
      </c>
      <c r="B65">
        <v>0.65306142405818624</v>
      </c>
      <c r="C65">
        <v>0.22693857594181377</v>
      </c>
      <c r="D65">
        <v>1.5009434896246179</v>
      </c>
    </row>
    <row r="66" spans="1:4" x14ac:dyDescent="0.25">
      <c r="A66">
        <v>39</v>
      </c>
      <c r="B66">
        <v>0.77958946744191249</v>
      </c>
      <c r="C66">
        <v>-3.9589467441912496E-2</v>
      </c>
      <c r="D66">
        <v>-0.26183980915558319</v>
      </c>
    </row>
    <row r="67" spans="1:4" ht="15.75" thickBot="1" x14ac:dyDescent="0.3">
      <c r="A67" s="21">
        <v>40</v>
      </c>
      <c r="B67" s="21">
        <v>0.69919452855857755</v>
      </c>
      <c r="C67" s="21">
        <v>-8.9194528558577568E-2</v>
      </c>
      <c r="D67" s="21">
        <v>-0.58992150803158017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7420-DFC4-4CDD-9428-FCC2923859CA}">
  <dimension ref="A1:I67"/>
  <sheetViews>
    <sheetView topLeftCell="A7" workbookViewId="0">
      <selection sqref="A1:I67"/>
    </sheetView>
  </sheetViews>
  <sheetFormatPr baseColWidth="10" defaultRowHeight="15" x14ac:dyDescent="0.25"/>
  <cols>
    <col min="1" max="1" width="34" bestFit="1" customWidth="1"/>
    <col min="2" max="2" width="48.42578125" bestFit="1" customWidth="1"/>
    <col min="3" max="3" width="18.140625" bestFit="1" customWidth="1"/>
    <col min="4" max="4" width="19.28515625" bestFit="1" customWidth="1"/>
    <col min="5" max="5" width="12" bestFit="1" customWidth="1"/>
    <col min="6" max="6" width="42.5703125" bestFit="1" customWidth="1"/>
    <col min="7" max="7" width="43.7109375" bestFit="1" customWidth="1"/>
    <col min="8" max="8" width="44.5703125" bestFit="1" customWidth="1"/>
    <col min="9" max="9" width="45.7109375" bestFit="1" customWidth="1"/>
  </cols>
  <sheetData>
    <row r="1" spans="1:9" x14ac:dyDescent="0.25">
      <c r="A1" t="s">
        <v>72</v>
      </c>
    </row>
    <row r="2" spans="1:9" ht="15.75" thickBot="1" x14ac:dyDescent="0.3"/>
    <row r="3" spans="1:9" x14ac:dyDescent="0.25">
      <c r="A3" s="23" t="s">
        <v>73</v>
      </c>
      <c r="B3" s="23"/>
    </row>
    <row r="4" spans="1:9" x14ac:dyDescent="0.25">
      <c r="A4" t="s">
        <v>74</v>
      </c>
      <c r="B4">
        <v>0.29255311435850145</v>
      </c>
    </row>
    <row r="5" spans="1:9" x14ac:dyDescent="0.25">
      <c r="A5" t="s">
        <v>75</v>
      </c>
      <c r="B5">
        <v>8.5587324720858421E-2</v>
      </c>
    </row>
    <row r="6" spans="1:9" x14ac:dyDescent="0.25">
      <c r="A6" t="s">
        <v>75</v>
      </c>
      <c r="B6">
        <v>-1.8916981025329183E-2</v>
      </c>
    </row>
    <row r="7" spans="1:9" x14ac:dyDescent="0.25">
      <c r="A7" t="s">
        <v>76</v>
      </c>
      <c r="B7">
        <v>0.17435382845956818</v>
      </c>
    </row>
    <row r="8" spans="1:9" ht="15.75" thickBot="1" x14ac:dyDescent="0.3">
      <c r="A8" s="21" t="s">
        <v>77</v>
      </c>
      <c r="B8" s="21">
        <v>40</v>
      </c>
    </row>
    <row r="10" spans="1:9" ht="15.75" thickBot="1" x14ac:dyDescent="0.3">
      <c r="A10" t="s">
        <v>78</v>
      </c>
    </row>
    <row r="11" spans="1:9" x14ac:dyDescent="0.25">
      <c r="A11" s="22"/>
      <c r="B11" s="22" t="s">
        <v>83</v>
      </c>
      <c r="C11" s="22" t="s">
        <v>84</v>
      </c>
      <c r="D11" s="22" t="s">
        <v>85</v>
      </c>
      <c r="E11" s="22" t="s">
        <v>86</v>
      </c>
      <c r="F11" s="22" t="s">
        <v>87</v>
      </c>
    </row>
    <row r="12" spans="1:9" x14ac:dyDescent="0.25">
      <c r="A12" t="s">
        <v>79</v>
      </c>
      <c r="B12">
        <v>4</v>
      </c>
      <c r="C12">
        <v>9.9585987552202049E-2</v>
      </c>
      <c r="D12">
        <v>2.4896496888050512E-2</v>
      </c>
      <c r="E12">
        <v>0.81898371660136782</v>
      </c>
      <c r="F12">
        <v>0.52184679870436168</v>
      </c>
    </row>
    <row r="13" spans="1:9" x14ac:dyDescent="0.25">
      <c r="A13" t="s">
        <v>80</v>
      </c>
      <c r="B13">
        <v>35</v>
      </c>
      <c r="C13">
        <v>1.0639740124477983</v>
      </c>
      <c r="D13">
        <v>3.0399257498508525E-2</v>
      </c>
    </row>
    <row r="14" spans="1:9" ht="15.75" thickBot="1" x14ac:dyDescent="0.3">
      <c r="A14" s="21" t="s">
        <v>81</v>
      </c>
      <c r="B14" s="21">
        <v>39</v>
      </c>
      <c r="C14" s="21">
        <v>1.1635600000000004</v>
      </c>
      <c r="D14" s="21"/>
      <c r="E14" s="21"/>
      <c r="F14" s="21"/>
    </row>
    <row r="15" spans="1:9" ht="15.75" thickBot="1" x14ac:dyDescent="0.3"/>
    <row r="16" spans="1:9" x14ac:dyDescent="0.25">
      <c r="A16" s="22"/>
      <c r="B16" s="22" t="s">
        <v>88</v>
      </c>
      <c r="C16" s="22" t="s">
        <v>76</v>
      </c>
      <c r="D16" s="22" t="s">
        <v>89</v>
      </c>
      <c r="E16" s="22" t="s">
        <v>90</v>
      </c>
      <c r="F16" s="22" t="s">
        <v>91</v>
      </c>
      <c r="G16" s="22" t="s">
        <v>92</v>
      </c>
      <c r="H16" s="22" t="s">
        <v>93</v>
      </c>
      <c r="I16" s="22" t="s">
        <v>94</v>
      </c>
    </row>
    <row r="17" spans="1:9" x14ac:dyDescent="0.25">
      <c r="A17" t="s">
        <v>82</v>
      </c>
      <c r="B17">
        <v>0.49207209624798121</v>
      </c>
      <c r="C17">
        <v>0.37277962901317196</v>
      </c>
      <c r="D17">
        <v>1.3200080099618161</v>
      </c>
      <c r="E17">
        <v>0.19540091855297895</v>
      </c>
      <c r="F17">
        <v>-0.26471078410188109</v>
      </c>
      <c r="G17">
        <v>1.2488549765978436</v>
      </c>
      <c r="H17">
        <v>-0.26471078410188109</v>
      </c>
      <c r="I17">
        <v>1.2488549765978436</v>
      </c>
    </row>
    <row r="18" spans="1:9" x14ac:dyDescent="0.25">
      <c r="A18" t="s">
        <v>61</v>
      </c>
      <c r="B18">
        <v>9.4581143634255752E-2</v>
      </c>
      <c r="C18">
        <v>0.18410996960288573</v>
      </c>
      <c r="D18">
        <v>0.51372092363201005</v>
      </c>
      <c r="E18">
        <v>0.61067528602080146</v>
      </c>
      <c r="F18">
        <v>-0.27918196532649237</v>
      </c>
      <c r="G18">
        <v>0.46834425259500384</v>
      </c>
      <c r="H18">
        <v>-0.27918196532649237</v>
      </c>
      <c r="I18">
        <v>0.46834425259500384</v>
      </c>
    </row>
    <row r="19" spans="1:9" x14ac:dyDescent="0.25">
      <c r="A19" t="s">
        <v>104</v>
      </c>
      <c r="B19">
        <v>2.0170030243894252E-3</v>
      </c>
      <c r="C19">
        <v>2.1119384653417898E-2</v>
      </c>
      <c r="D19">
        <v>9.5504819742131999E-2</v>
      </c>
      <c r="E19">
        <v>0.9244585927548904</v>
      </c>
      <c r="F19">
        <v>-4.0857627200282888E-2</v>
      </c>
      <c r="G19">
        <v>4.4891633249061737E-2</v>
      </c>
      <c r="H19">
        <v>-4.0857627200282888E-2</v>
      </c>
      <c r="I19">
        <v>4.4891633249061737E-2</v>
      </c>
    </row>
    <row r="20" spans="1:9" x14ac:dyDescent="0.25">
      <c r="A20" t="s">
        <v>117</v>
      </c>
      <c r="B20">
        <v>0.14339827247149045</v>
      </c>
      <c r="C20">
        <v>8.1270931925604362E-2</v>
      </c>
      <c r="D20">
        <v>1.7644472516047636</v>
      </c>
      <c r="E20">
        <v>8.6383274321225931E-2</v>
      </c>
      <c r="F20">
        <v>-2.1590490766972947E-2</v>
      </c>
      <c r="G20">
        <v>0.30838703570995385</v>
      </c>
      <c r="H20">
        <v>-2.1590490766972947E-2</v>
      </c>
      <c r="I20">
        <v>0.30838703570995385</v>
      </c>
    </row>
    <row r="21" spans="1:9" ht="15.75" thickBot="1" x14ac:dyDescent="0.3">
      <c r="A21" s="21" t="s">
        <v>118</v>
      </c>
      <c r="B21" s="21">
        <v>0.1160733878716691</v>
      </c>
      <c r="C21" s="21">
        <v>8.5486741844870678E-2</v>
      </c>
      <c r="D21" s="21">
        <v>1.357794031761121</v>
      </c>
      <c r="E21" s="21">
        <v>0.1832190091777901</v>
      </c>
      <c r="F21" s="21">
        <v>-5.7473924507893293E-2</v>
      </c>
      <c r="G21" s="21">
        <v>0.28962070025123149</v>
      </c>
      <c r="H21" s="21">
        <v>-5.7473924507893293E-2</v>
      </c>
      <c r="I21" s="21">
        <v>0.28962070025123149</v>
      </c>
    </row>
    <row r="25" spans="1:9" x14ac:dyDescent="0.25">
      <c r="A25" t="s">
        <v>95</v>
      </c>
    </row>
    <row r="26" spans="1:9" ht="15.75" thickBot="1" x14ac:dyDescent="0.3"/>
    <row r="27" spans="1:9" x14ac:dyDescent="0.25">
      <c r="A27" s="22" t="s">
        <v>96</v>
      </c>
      <c r="B27" s="22" t="s">
        <v>98</v>
      </c>
      <c r="C27" s="22" t="s">
        <v>80</v>
      </c>
      <c r="D27" s="22" t="s">
        <v>119</v>
      </c>
    </row>
    <row r="28" spans="1:9" x14ac:dyDescent="0.25">
      <c r="A28">
        <v>1</v>
      </c>
      <c r="B28">
        <v>0.69778171918889953</v>
      </c>
      <c r="C28">
        <v>-6.7781719188899525E-2</v>
      </c>
      <c r="D28">
        <v>-0.41037356132454283</v>
      </c>
    </row>
    <row r="29" spans="1:9" x14ac:dyDescent="0.25">
      <c r="A29">
        <v>2</v>
      </c>
      <c r="B29">
        <v>0.74696573469835448</v>
      </c>
      <c r="C29">
        <v>8.3034265301645482E-2</v>
      </c>
      <c r="D29">
        <v>0.50271765855982564</v>
      </c>
    </row>
    <row r="30" spans="1:9" x14ac:dyDescent="0.25">
      <c r="A30">
        <v>3</v>
      </c>
      <c r="B30">
        <v>0.7287152836044144</v>
      </c>
      <c r="C30">
        <v>-4.871528360441435E-2</v>
      </c>
      <c r="D30">
        <v>-0.29493888120430839</v>
      </c>
    </row>
    <row r="31" spans="1:9" x14ac:dyDescent="0.25">
      <c r="A31">
        <v>4</v>
      </c>
      <c r="B31">
        <v>0.73603081236330126</v>
      </c>
      <c r="C31">
        <v>-0.38603081236330128</v>
      </c>
      <c r="D31">
        <v>-2.3371617177346238</v>
      </c>
    </row>
    <row r="32" spans="1:9" x14ac:dyDescent="0.25">
      <c r="A32">
        <v>5</v>
      </c>
      <c r="B32">
        <v>0.73421015290536218</v>
      </c>
      <c r="C32">
        <v>0.12578984709463781</v>
      </c>
      <c r="D32">
        <v>0.76157447979203885</v>
      </c>
    </row>
    <row r="33" spans="1:4" x14ac:dyDescent="0.25">
      <c r="A33">
        <v>6</v>
      </c>
      <c r="B33">
        <v>0.72761634386044438</v>
      </c>
      <c r="C33">
        <v>-0.15761634386044443</v>
      </c>
      <c r="D33">
        <v>-0.95426290638489875</v>
      </c>
    </row>
    <row r="34" spans="1:4" x14ac:dyDescent="0.25">
      <c r="A34">
        <v>7</v>
      </c>
      <c r="B34">
        <v>0.82560154344339209</v>
      </c>
      <c r="C34">
        <v>5.439845655660791E-2</v>
      </c>
      <c r="D34">
        <v>0.32934674149353121</v>
      </c>
    </row>
    <row r="35" spans="1:4" x14ac:dyDescent="0.25">
      <c r="A35">
        <v>8</v>
      </c>
      <c r="B35">
        <v>0.68038890855167389</v>
      </c>
      <c r="C35">
        <v>0.13961109144832606</v>
      </c>
      <c r="D35">
        <v>0.84525298979785546</v>
      </c>
    </row>
    <row r="36" spans="1:4" x14ac:dyDescent="0.25">
      <c r="A36">
        <v>9</v>
      </c>
      <c r="B36">
        <v>0.70092774790985557</v>
      </c>
      <c r="C36">
        <v>0.28907225209014442</v>
      </c>
      <c r="D36">
        <v>1.7501416457103671</v>
      </c>
    </row>
    <row r="37" spans="1:4" x14ac:dyDescent="0.25">
      <c r="A37">
        <v>10</v>
      </c>
      <c r="B37">
        <v>0.74731645770475774</v>
      </c>
      <c r="C37">
        <v>-0.22731645770475772</v>
      </c>
      <c r="D37">
        <v>-1.3762510808557107</v>
      </c>
    </row>
    <row r="38" spans="1:4" x14ac:dyDescent="0.25">
      <c r="A38">
        <v>11</v>
      </c>
      <c r="B38">
        <v>0.69892348623608669</v>
      </c>
      <c r="C38">
        <v>-0.12892348623608674</v>
      </c>
      <c r="D38">
        <v>-0.78054659601704279</v>
      </c>
    </row>
    <row r="39" spans="1:4" x14ac:dyDescent="0.25">
      <c r="A39">
        <v>12</v>
      </c>
      <c r="B39">
        <v>0.74669230578814871</v>
      </c>
      <c r="C39">
        <v>7.3307694211851238E-2</v>
      </c>
      <c r="D39">
        <v>0.44382969193166599</v>
      </c>
    </row>
    <row r="40" spans="1:4" x14ac:dyDescent="0.25">
      <c r="A40">
        <v>13</v>
      </c>
      <c r="B40">
        <v>0.66992000051161504</v>
      </c>
      <c r="C40">
        <v>-9.9200005116150125E-3</v>
      </c>
      <c r="D40">
        <v>-6.0059054078395575E-2</v>
      </c>
    </row>
    <row r="41" spans="1:4" x14ac:dyDescent="0.25">
      <c r="A41">
        <v>14</v>
      </c>
      <c r="B41">
        <v>0.7074325762777075</v>
      </c>
      <c r="C41">
        <v>2.5674237222924612E-3</v>
      </c>
      <c r="D41">
        <v>1.5544055668018785E-2</v>
      </c>
    </row>
    <row r="42" spans="1:4" x14ac:dyDescent="0.25">
      <c r="A42">
        <v>15</v>
      </c>
      <c r="B42">
        <v>0.84673678614764558</v>
      </c>
      <c r="C42">
        <v>3.3263213852354423E-2</v>
      </c>
      <c r="D42">
        <v>0.20138680005516946</v>
      </c>
    </row>
    <row r="43" spans="1:4" x14ac:dyDescent="0.25">
      <c r="A43">
        <v>16</v>
      </c>
      <c r="B43">
        <v>0.71902364989695333</v>
      </c>
      <c r="C43">
        <v>0.25097635010304664</v>
      </c>
      <c r="D43">
        <v>1.5194961094596975</v>
      </c>
    </row>
    <row r="44" spans="1:4" x14ac:dyDescent="0.25">
      <c r="A44">
        <v>17</v>
      </c>
      <c r="B44">
        <v>0.70703420533463057</v>
      </c>
      <c r="C44">
        <v>-0.26703420533463057</v>
      </c>
      <c r="D44">
        <v>-1.6167158217578508</v>
      </c>
    </row>
    <row r="45" spans="1:4" x14ac:dyDescent="0.25">
      <c r="A45">
        <v>18</v>
      </c>
      <c r="B45">
        <v>0.81411568060352035</v>
      </c>
      <c r="C45">
        <v>-0.17411568060352034</v>
      </c>
      <c r="D45">
        <v>-1.0541554977763812</v>
      </c>
    </row>
    <row r="46" spans="1:4" x14ac:dyDescent="0.25">
      <c r="A46">
        <v>19</v>
      </c>
      <c r="B46">
        <v>0.83430277188552626</v>
      </c>
      <c r="C46">
        <v>8.5697228114473778E-2</v>
      </c>
      <c r="D46">
        <v>0.51884014034771953</v>
      </c>
    </row>
    <row r="47" spans="1:4" x14ac:dyDescent="0.25">
      <c r="A47">
        <v>20</v>
      </c>
      <c r="B47">
        <v>0.74460296265514536</v>
      </c>
      <c r="C47">
        <v>0.15539703734485466</v>
      </c>
      <c r="D47">
        <v>0.94082647058227187</v>
      </c>
    </row>
    <row r="48" spans="1:4" x14ac:dyDescent="0.25">
      <c r="A48">
        <v>21</v>
      </c>
      <c r="B48">
        <v>0.74713304547450865</v>
      </c>
      <c r="C48">
        <v>0.23286695452549133</v>
      </c>
      <c r="D48">
        <v>1.4098556747595201</v>
      </c>
    </row>
    <row r="49" spans="1:4" x14ac:dyDescent="0.25">
      <c r="A49">
        <v>22</v>
      </c>
      <c r="B49">
        <v>0.8367958001989364</v>
      </c>
      <c r="C49">
        <v>0.11320419980106355</v>
      </c>
      <c r="D49">
        <v>0.68537669426457337</v>
      </c>
    </row>
    <row r="50" spans="1:4" x14ac:dyDescent="0.25">
      <c r="A50">
        <v>23</v>
      </c>
      <c r="B50">
        <v>0.74630354064035043</v>
      </c>
      <c r="C50">
        <v>0.1636964593596496</v>
      </c>
      <c r="D50">
        <v>0.99107399174140587</v>
      </c>
    </row>
    <row r="51" spans="1:4" x14ac:dyDescent="0.25">
      <c r="A51">
        <v>24</v>
      </c>
      <c r="B51">
        <v>0.68320917348402355</v>
      </c>
      <c r="C51">
        <v>0.21679082651597648</v>
      </c>
      <c r="D51">
        <v>1.3125253328543791</v>
      </c>
    </row>
    <row r="52" spans="1:4" x14ac:dyDescent="0.25">
      <c r="A52">
        <v>25</v>
      </c>
      <c r="B52">
        <v>0.73683068457268996</v>
      </c>
      <c r="C52">
        <v>9.3169315427309995E-2</v>
      </c>
      <c r="D52">
        <v>0.56407869607911054</v>
      </c>
    </row>
    <row r="53" spans="1:4" x14ac:dyDescent="0.25">
      <c r="A53">
        <v>26</v>
      </c>
      <c r="B53">
        <v>0.70019320236507365</v>
      </c>
      <c r="C53">
        <v>-0.11019320236507368</v>
      </c>
      <c r="D53">
        <v>-0.66714709260010885</v>
      </c>
    </row>
    <row r="54" spans="1:4" x14ac:dyDescent="0.25">
      <c r="A54">
        <v>27</v>
      </c>
      <c r="B54">
        <v>0.72989295235336038</v>
      </c>
      <c r="C54">
        <v>-0.22989295235336038</v>
      </c>
      <c r="D54">
        <v>-1.3918500549940631</v>
      </c>
    </row>
    <row r="55" spans="1:4" x14ac:dyDescent="0.25">
      <c r="A55">
        <v>28</v>
      </c>
      <c r="B55">
        <v>0.73762633902208474</v>
      </c>
      <c r="C55">
        <v>-0.26762633902208477</v>
      </c>
      <c r="D55">
        <v>-1.6203008003185688</v>
      </c>
    </row>
    <row r="56" spans="1:4" x14ac:dyDescent="0.25">
      <c r="A56">
        <v>29</v>
      </c>
      <c r="B56">
        <v>0.73940387907745153</v>
      </c>
      <c r="C56">
        <v>0.26059612092254847</v>
      </c>
      <c r="D56">
        <v>1.5777374709589995</v>
      </c>
    </row>
    <row r="57" spans="1:4" x14ac:dyDescent="0.25">
      <c r="A57">
        <v>30</v>
      </c>
      <c r="B57">
        <v>0.74745001378178944</v>
      </c>
      <c r="C57">
        <v>0.10254998621821054</v>
      </c>
      <c r="D57">
        <v>0.62087246475509617</v>
      </c>
    </row>
    <row r="58" spans="1:4" x14ac:dyDescent="0.25">
      <c r="A58">
        <v>31</v>
      </c>
      <c r="B58">
        <v>0.72652365896561721</v>
      </c>
      <c r="C58">
        <v>-2.6523658965617258E-2</v>
      </c>
      <c r="D58">
        <v>-0.16058324455807763</v>
      </c>
    </row>
    <row r="59" spans="1:4" x14ac:dyDescent="0.25">
      <c r="A59">
        <v>32</v>
      </c>
      <c r="B59">
        <v>0.73084699735160319</v>
      </c>
      <c r="C59">
        <v>-0.23084699735160319</v>
      </c>
      <c r="D59">
        <v>-1.3976261676137749</v>
      </c>
    </row>
    <row r="60" spans="1:4" x14ac:dyDescent="0.25">
      <c r="A60">
        <v>33</v>
      </c>
      <c r="B60">
        <v>0.7454728503756658</v>
      </c>
      <c r="C60">
        <v>3.452714962433423E-2</v>
      </c>
      <c r="D60">
        <v>0.20903909672512147</v>
      </c>
    </row>
    <row r="61" spans="1:4" x14ac:dyDescent="0.25">
      <c r="A61">
        <v>34</v>
      </c>
      <c r="B61">
        <v>0.69778456109823506</v>
      </c>
      <c r="C61">
        <v>-5.7784561098235043E-2</v>
      </c>
      <c r="D61">
        <v>-0.34984736904315378</v>
      </c>
    </row>
    <row r="62" spans="1:4" x14ac:dyDescent="0.25">
      <c r="A62">
        <v>35</v>
      </c>
      <c r="B62">
        <v>0.6896924906394164</v>
      </c>
      <c r="C62">
        <v>-5.9692490639416396E-2</v>
      </c>
      <c r="D62">
        <v>-0.36139862283164015</v>
      </c>
    </row>
    <row r="63" spans="1:4" x14ac:dyDescent="0.25">
      <c r="A63">
        <v>36</v>
      </c>
      <c r="B63">
        <v>0.84756290077929819</v>
      </c>
      <c r="C63">
        <v>1.2437099220701797E-2</v>
      </c>
      <c r="D63">
        <v>7.5298425015191128E-2</v>
      </c>
    </row>
    <row r="64" spans="1:4" x14ac:dyDescent="0.25">
      <c r="A64">
        <v>37</v>
      </c>
      <c r="B64">
        <v>0.7197050739709373</v>
      </c>
      <c r="C64">
        <v>-3.9705073970937255E-2</v>
      </c>
      <c r="D64">
        <v>-0.24038801026422402</v>
      </c>
    </row>
    <row r="65" spans="1:4" x14ac:dyDescent="0.25">
      <c r="A65">
        <v>38</v>
      </c>
      <c r="B65">
        <v>0.70141283339235838</v>
      </c>
      <c r="C65">
        <v>0.17858716660764162</v>
      </c>
      <c r="D65">
        <v>1.0812273935306072</v>
      </c>
    </row>
    <row r="66" spans="1:4" x14ac:dyDescent="0.25">
      <c r="A66">
        <v>39</v>
      </c>
      <c r="B66">
        <v>0.86488451694167923</v>
      </c>
      <c r="C66">
        <v>-0.12488451694167924</v>
      </c>
      <c r="D66">
        <v>-0.75609330339979197</v>
      </c>
    </row>
    <row r="67" spans="1:4" ht="15.75" thickBot="1" x14ac:dyDescent="0.3">
      <c r="A67" s="21">
        <v>40</v>
      </c>
      <c r="B67" s="21">
        <v>0.69693635594747483</v>
      </c>
      <c r="C67" s="21">
        <v>-8.6936355947474842E-2</v>
      </c>
      <c r="D67" s="21">
        <v>-0.52634224132494412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2D02-7CE4-4EA7-AE3E-EB3BD031B7B3}">
  <dimension ref="A1:I69"/>
  <sheetViews>
    <sheetView topLeftCell="A8" workbookViewId="0">
      <selection activeCell="E21" sqref="E21"/>
    </sheetView>
  </sheetViews>
  <sheetFormatPr baseColWidth="10" defaultRowHeight="15" x14ac:dyDescent="0.25"/>
  <cols>
    <col min="1" max="1" width="34" bestFit="1" customWidth="1"/>
    <col min="2" max="2" width="48.42578125" bestFit="1" customWidth="1"/>
    <col min="3" max="3" width="18.140625" bestFit="1" customWidth="1"/>
    <col min="4" max="4" width="19.28515625" bestFit="1" customWidth="1"/>
    <col min="5" max="5" width="12" bestFit="1" customWidth="1"/>
    <col min="6" max="6" width="42.5703125" bestFit="1" customWidth="1"/>
    <col min="7" max="7" width="43.7109375" bestFit="1" customWidth="1"/>
    <col min="8" max="8" width="44.5703125" bestFit="1" customWidth="1"/>
    <col min="9" max="9" width="45.7109375" bestFit="1" customWidth="1"/>
  </cols>
  <sheetData>
    <row r="1" spans="1:9" x14ac:dyDescent="0.25">
      <c r="A1" t="s">
        <v>72</v>
      </c>
    </row>
    <row r="2" spans="1:9" ht="15.75" thickBot="1" x14ac:dyDescent="0.3"/>
    <row r="3" spans="1:9" x14ac:dyDescent="0.25">
      <c r="A3" s="23" t="s">
        <v>73</v>
      </c>
      <c r="B3" s="23"/>
    </row>
    <row r="4" spans="1:9" x14ac:dyDescent="0.25">
      <c r="A4" t="s">
        <v>74</v>
      </c>
      <c r="B4">
        <v>0.50463543251503107</v>
      </c>
    </row>
    <row r="5" spans="1:9" x14ac:dyDescent="0.25">
      <c r="A5" t="s">
        <v>75</v>
      </c>
      <c r="B5">
        <v>0.2546569197496325</v>
      </c>
    </row>
    <row r="6" spans="1:9" x14ac:dyDescent="0.25">
      <c r="A6" t="s">
        <v>75</v>
      </c>
      <c r="B6">
        <v>0.11913999606774751</v>
      </c>
    </row>
    <row r="7" spans="1:9" x14ac:dyDescent="0.25">
      <c r="A7" t="s">
        <v>76</v>
      </c>
      <c r="B7">
        <v>0.16211213799882176</v>
      </c>
    </row>
    <row r="8" spans="1:9" ht="15.75" thickBot="1" x14ac:dyDescent="0.3">
      <c r="A8" s="21" t="s">
        <v>77</v>
      </c>
      <c r="B8" s="21">
        <v>40</v>
      </c>
    </row>
    <row r="10" spans="1:9" ht="15.75" thickBot="1" x14ac:dyDescent="0.3">
      <c r="A10" t="s">
        <v>78</v>
      </c>
    </row>
    <row r="11" spans="1:9" x14ac:dyDescent="0.25">
      <c r="A11" s="22"/>
      <c r="B11" s="22" t="s">
        <v>83</v>
      </c>
      <c r="C11" s="22" t="s">
        <v>84</v>
      </c>
      <c r="D11" s="22" t="s">
        <v>85</v>
      </c>
      <c r="E11" s="22" t="s">
        <v>86</v>
      </c>
      <c r="F11" s="22" t="s">
        <v>87</v>
      </c>
    </row>
    <row r="12" spans="1:9" x14ac:dyDescent="0.25">
      <c r="A12" t="s">
        <v>79</v>
      </c>
      <c r="B12">
        <v>6</v>
      </c>
      <c r="C12">
        <v>0.2963086055438825</v>
      </c>
      <c r="D12">
        <v>4.9384767590647083E-2</v>
      </c>
      <c r="E12">
        <v>1.87915215923451</v>
      </c>
      <c r="F12">
        <v>0.1140711007478208</v>
      </c>
    </row>
    <row r="13" spans="1:9" x14ac:dyDescent="0.25">
      <c r="A13" t="s">
        <v>80</v>
      </c>
      <c r="B13">
        <v>33</v>
      </c>
      <c r="C13">
        <v>0.86725139445611787</v>
      </c>
      <c r="D13">
        <v>2.6280345286549028E-2</v>
      </c>
    </row>
    <row r="14" spans="1:9" ht="15.75" thickBot="1" x14ac:dyDescent="0.3">
      <c r="A14" s="21" t="s">
        <v>81</v>
      </c>
      <c r="B14" s="21">
        <v>39</v>
      </c>
      <c r="C14" s="21">
        <v>1.1635600000000004</v>
      </c>
      <c r="D14" s="21"/>
      <c r="E14" s="21"/>
      <c r="F14" s="21"/>
    </row>
    <row r="15" spans="1:9" ht="15.75" thickBot="1" x14ac:dyDescent="0.3"/>
    <row r="16" spans="1:9" x14ac:dyDescent="0.25">
      <c r="A16" s="22"/>
      <c r="B16" s="22" t="s">
        <v>88</v>
      </c>
      <c r="C16" s="22" t="s">
        <v>76</v>
      </c>
      <c r="D16" s="22" t="s">
        <v>89</v>
      </c>
      <c r="E16" s="22" t="s">
        <v>90</v>
      </c>
      <c r="F16" s="22" t="s">
        <v>91</v>
      </c>
      <c r="G16" s="22" t="s">
        <v>92</v>
      </c>
      <c r="H16" s="22" t="s">
        <v>93</v>
      </c>
      <c r="I16" s="22" t="s">
        <v>94</v>
      </c>
    </row>
    <row r="17" spans="1:9" x14ac:dyDescent="0.25">
      <c r="A17" t="s">
        <v>82</v>
      </c>
      <c r="B17">
        <v>-0.24564824683282507</v>
      </c>
      <c r="C17">
        <v>0.44064534443825909</v>
      </c>
      <c r="D17">
        <v>-0.55747382772415521</v>
      </c>
      <c r="E17">
        <v>0.58096585164950554</v>
      </c>
      <c r="F17">
        <v>-1.1421479408422965</v>
      </c>
      <c r="G17">
        <v>0.65085144717664634</v>
      </c>
      <c r="H17">
        <v>-1.1421479408422965</v>
      </c>
      <c r="I17">
        <v>0.65085144717664634</v>
      </c>
    </row>
    <row r="18" spans="1:9" x14ac:dyDescent="0.25">
      <c r="A18" t="s">
        <v>59</v>
      </c>
      <c r="B18">
        <v>-0.26352000544820131</v>
      </c>
      <c r="C18">
        <v>0.28812678007810755</v>
      </c>
      <c r="D18">
        <v>-0.91459740526987587</v>
      </c>
      <c r="E18">
        <v>0.36703780324642754</v>
      </c>
      <c r="F18">
        <v>-0.84971834712193273</v>
      </c>
      <c r="G18">
        <v>0.3226783362255301</v>
      </c>
      <c r="H18">
        <v>-0.84971834712193273</v>
      </c>
      <c r="I18">
        <v>0.3226783362255301</v>
      </c>
    </row>
    <row r="19" spans="1:9" x14ac:dyDescent="0.25">
      <c r="A19" t="s">
        <v>60</v>
      </c>
      <c r="B19">
        <v>0.82996979954385375</v>
      </c>
      <c r="C19">
        <v>0.30366330309310391</v>
      </c>
      <c r="D19">
        <v>2.733190975299979</v>
      </c>
      <c r="E19">
        <v>1.0002112678084072E-2</v>
      </c>
      <c r="F19">
        <v>0.21216216412693845</v>
      </c>
      <c r="G19">
        <v>1.447777434960769</v>
      </c>
      <c r="H19">
        <v>0.21216216412693845</v>
      </c>
      <c r="I19">
        <v>1.447777434960769</v>
      </c>
    </row>
    <row r="20" spans="1:9" x14ac:dyDescent="0.25">
      <c r="A20" t="s">
        <v>61</v>
      </c>
      <c r="B20">
        <v>5.6488866919481955E-2</v>
      </c>
      <c r="C20">
        <v>0.17210435268461</v>
      </c>
      <c r="D20">
        <v>0.32822451052705615</v>
      </c>
      <c r="E20">
        <v>0.74481552839374099</v>
      </c>
      <c r="F20">
        <v>-0.29366007137497341</v>
      </c>
      <c r="G20">
        <v>0.40663780521393733</v>
      </c>
      <c r="H20">
        <v>-0.29366007137497341</v>
      </c>
      <c r="I20">
        <v>0.40663780521393733</v>
      </c>
    </row>
    <row r="21" spans="1:9" x14ac:dyDescent="0.25">
      <c r="A21" t="s">
        <v>104</v>
      </c>
      <c r="B21">
        <v>1.9471175110459576E-2</v>
      </c>
      <c r="C21">
        <v>2.2103248263008603E-2</v>
      </c>
      <c r="D21">
        <v>0.88091916983287955</v>
      </c>
      <c r="E21">
        <v>0.38473261792100766</v>
      </c>
      <c r="F21">
        <v>-2.5498221603951977E-2</v>
      </c>
      <c r="G21">
        <v>6.4440571824871132E-2</v>
      </c>
      <c r="H21">
        <v>-2.5498221603951977E-2</v>
      </c>
      <c r="I21">
        <v>6.4440571824871132E-2</v>
      </c>
    </row>
    <row r="22" spans="1:9" x14ac:dyDescent="0.25">
      <c r="A22" t="s">
        <v>117</v>
      </c>
      <c r="B22">
        <v>0.13571022505286459</v>
      </c>
      <c r="C22">
        <v>7.6862581114359479E-2</v>
      </c>
      <c r="D22">
        <v>1.7656214907869023</v>
      </c>
      <c r="E22">
        <v>8.671157117933434E-2</v>
      </c>
      <c r="F22">
        <v>-2.0667872025740497E-2</v>
      </c>
      <c r="G22">
        <v>0.29208832213146968</v>
      </c>
      <c r="H22">
        <v>-2.0667872025740497E-2</v>
      </c>
      <c r="I22">
        <v>0.29208832213146968</v>
      </c>
    </row>
    <row r="23" spans="1:9" ht="15.75" thickBot="1" x14ac:dyDescent="0.3">
      <c r="A23" s="21" t="s">
        <v>118</v>
      </c>
      <c r="B23" s="21">
        <v>0.11983199094179979</v>
      </c>
      <c r="C23" s="21">
        <v>7.9688763294586101E-2</v>
      </c>
      <c r="D23" s="21">
        <v>1.503750164860959</v>
      </c>
      <c r="E23" s="21">
        <v>0.14215680627145288</v>
      </c>
      <c r="F23" s="21">
        <v>-4.2296017015855072E-2</v>
      </c>
      <c r="G23" s="21">
        <v>0.28195999889945467</v>
      </c>
      <c r="H23" s="21">
        <v>-4.2296017015855072E-2</v>
      </c>
      <c r="I23" s="21">
        <v>0.28195999889945467</v>
      </c>
    </row>
    <row r="27" spans="1:9" x14ac:dyDescent="0.25">
      <c r="A27" t="s">
        <v>95</v>
      </c>
    </row>
    <row r="28" spans="1:9" ht="15.75" thickBot="1" x14ac:dyDescent="0.3"/>
    <row r="29" spans="1:9" x14ac:dyDescent="0.25">
      <c r="A29" s="22" t="s">
        <v>96</v>
      </c>
      <c r="B29" s="22" t="s">
        <v>98</v>
      </c>
      <c r="C29" s="22" t="s">
        <v>80</v>
      </c>
      <c r="D29" s="22" t="s">
        <v>119</v>
      </c>
    </row>
    <row r="30" spans="1:9" x14ac:dyDescent="0.25">
      <c r="A30">
        <v>1</v>
      </c>
      <c r="B30">
        <v>0.62207246706901287</v>
      </c>
      <c r="C30">
        <v>7.9275329309871356E-3</v>
      </c>
      <c r="D30">
        <v>5.3161576923071281E-2</v>
      </c>
    </row>
    <row r="31" spans="1:9" x14ac:dyDescent="0.25">
      <c r="A31">
        <v>2</v>
      </c>
      <c r="B31">
        <v>0.76065481387033851</v>
      </c>
      <c r="C31">
        <v>6.9345186129661451E-2</v>
      </c>
      <c r="D31">
        <v>0.46502480390423939</v>
      </c>
    </row>
    <row r="32" spans="1:9" x14ac:dyDescent="0.25">
      <c r="A32">
        <v>3</v>
      </c>
      <c r="B32">
        <v>0.70308013579590889</v>
      </c>
      <c r="C32">
        <v>-2.308013579590884E-2</v>
      </c>
      <c r="D32">
        <v>-0.15477405457543217</v>
      </c>
    </row>
    <row r="33" spans="1:4" x14ac:dyDescent="0.25">
      <c r="A33">
        <v>4</v>
      </c>
      <c r="B33">
        <v>0.68410455535276116</v>
      </c>
      <c r="C33">
        <v>-0.33410455535276118</v>
      </c>
      <c r="D33">
        <v>-2.2404858074203768</v>
      </c>
    </row>
    <row r="34" spans="1:4" x14ac:dyDescent="0.25">
      <c r="A34">
        <v>5</v>
      </c>
      <c r="B34">
        <v>0.71676943641147295</v>
      </c>
      <c r="C34">
        <v>0.14323056358852704</v>
      </c>
      <c r="D34">
        <v>0.96049586803774933</v>
      </c>
    </row>
    <row r="35" spans="1:4" x14ac:dyDescent="0.25">
      <c r="A35">
        <v>6</v>
      </c>
      <c r="B35">
        <v>0.79541615223282447</v>
      </c>
      <c r="C35">
        <v>-0.22541615223282452</v>
      </c>
      <c r="D35">
        <v>-1.5116276678948926</v>
      </c>
    </row>
    <row r="36" spans="1:4" x14ac:dyDescent="0.25">
      <c r="A36">
        <v>7</v>
      </c>
      <c r="B36">
        <v>0.86170322310376712</v>
      </c>
      <c r="C36">
        <v>1.829677689623288E-2</v>
      </c>
      <c r="D36">
        <v>0.12269712669515696</v>
      </c>
    </row>
    <row r="37" spans="1:4" x14ac:dyDescent="0.25">
      <c r="A37">
        <v>8</v>
      </c>
      <c r="B37">
        <v>0.68212601712632637</v>
      </c>
      <c r="C37">
        <v>0.13787398287367358</v>
      </c>
      <c r="D37">
        <v>0.9245749478477826</v>
      </c>
    </row>
    <row r="38" spans="1:4" x14ac:dyDescent="0.25">
      <c r="A38">
        <v>9</v>
      </c>
      <c r="B38">
        <v>0.70908769153401807</v>
      </c>
      <c r="C38">
        <v>0.28091230846598192</v>
      </c>
      <c r="D38">
        <v>1.8837816790112378</v>
      </c>
    </row>
    <row r="39" spans="1:4" x14ac:dyDescent="0.25">
      <c r="A39">
        <v>10</v>
      </c>
      <c r="B39">
        <v>0.71133652365488698</v>
      </c>
      <c r="C39">
        <v>-0.19133652365488696</v>
      </c>
      <c r="D39">
        <v>-1.2830916514661181</v>
      </c>
    </row>
    <row r="40" spans="1:4" x14ac:dyDescent="0.25">
      <c r="A40">
        <v>11</v>
      </c>
      <c r="B40">
        <v>0.58304874589824829</v>
      </c>
      <c r="C40">
        <v>-1.3048745898248337E-2</v>
      </c>
      <c r="D40">
        <v>-8.7504134622744659E-2</v>
      </c>
    </row>
    <row r="41" spans="1:4" x14ac:dyDescent="0.25">
      <c r="A41">
        <v>12</v>
      </c>
      <c r="B41">
        <v>0.78830824181399028</v>
      </c>
      <c r="C41">
        <v>3.1691758186009666E-2</v>
      </c>
      <c r="D41">
        <v>0.21252309581048157</v>
      </c>
    </row>
    <row r="42" spans="1:4" x14ac:dyDescent="0.25">
      <c r="A42">
        <v>13</v>
      </c>
      <c r="B42">
        <v>0.74971639538274304</v>
      </c>
      <c r="C42">
        <v>-8.9716395382743008E-2</v>
      </c>
      <c r="D42">
        <v>-0.6016329538988715</v>
      </c>
    </row>
    <row r="43" spans="1:4" x14ac:dyDescent="0.25">
      <c r="A43">
        <v>14</v>
      </c>
      <c r="B43">
        <v>0.7125789790945587</v>
      </c>
      <c r="C43">
        <v>-2.578979094558731E-3</v>
      </c>
      <c r="D43">
        <v>-1.7294484515159837E-2</v>
      </c>
    </row>
    <row r="44" spans="1:4" x14ac:dyDescent="0.25">
      <c r="A44">
        <v>15</v>
      </c>
      <c r="B44">
        <v>0.89442228798009504</v>
      </c>
      <c r="C44">
        <v>-1.4422287980095039E-2</v>
      </c>
      <c r="D44">
        <v>-9.6715028311467111E-2</v>
      </c>
    </row>
    <row r="45" spans="1:4" x14ac:dyDescent="0.25">
      <c r="A45">
        <v>16</v>
      </c>
      <c r="B45">
        <v>0.77423296753486825</v>
      </c>
      <c r="C45">
        <v>0.19576703246513172</v>
      </c>
      <c r="D45">
        <v>1.3128023870725918</v>
      </c>
    </row>
    <row r="46" spans="1:4" x14ac:dyDescent="0.25">
      <c r="A46">
        <v>17</v>
      </c>
      <c r="B46">
        <v>0.65208831859390104</v>
      </c>
      <c r="C46">
        <v>-0.21208831859390104</v>
      </c>
      <c r="D46">
        <v>-1.4222519870391208</v>
      </c>
    </row>
    <row r="47" spans="1:4" x14ac:dyDescent="0.25">
      <c r="A47">
        <v>18</v>
      </c>
      <c r="B47">
        <v>0.67048546997716396</v>
      </c>
      <c r="C47">
        <v>-3.0485469977163948E-2</v>
      </c>
      <c r="D47">
        <v>-0.20443379691204605</v>
      </c>
    </row>
    <row r="48" spans="1:4" x14ac:dyDescent="0.25">
      <c r="A48">
        <v>19</v>
      </c>
      <c r="B48">
        <v>0.89033847675462829</v>
      </c>
      <c r="C48">
        <v>2.9661523245371746E-2</v>
      </c>
      <c r="D48">
        <v>0.19890845782559838</v>
      </c>
    </row>
    <row r="49" spans="1:4" x14ac:dyDescent="0.25">
      <c r="A49">
        <v>20</v>
      </c>
      <c r="B49">
        <v>0.68514175020462842</v>
      </c>
      <c r="C49">
        <v>0.2148582497953716</v>
      </c>
      <c r="D49">
        <v>1.440826985329321</v>
      </c>
    </row>
    <row r="50" spans="1:4" x14ac:dyDescent="0.25">
      <c r="A50">
        <v>21</v>
      </c>
      <c r="B50">
        <v>0.84526693142291931</v>
      </c>
      <c r="C50">
        <v>0.13473306857708067</v>
      </c>
      <c r="D50">
        <v>0.90351215839730648</v>
      </c>
    </row>
    <row r="51" spans="1:4" x14ac:dyDescent="0.25">
      <c r="A51">
        <v>22</v>
      </c>
      <c r="B51">
        <v>0.91440497058670056</v>
      </c>
      <c r="C51">
        <v>3.5595029413299395E-2</v>
      </c>
      <c r="D51">
        <v>0.23869820670659428</v>
      </c>
    </row>
    <row r="52" spans="1:4" x14ac:dyDescent="0.25">
      <c r="A52">
        <v>23</v>
      </c>
      <c r="B52">
        <v>0.83725929153068046</v>
      </c>
      <c r="C52">
        <v>7.274070846931957E-2</v>
      </c>
      <c r="D52">
        <v>0.48779498015266082</v>
      </c>
    </row>
    <row r="53" spans="1:4" x14ac:dyDescent="0.25">
      <c r="A53">
        <v>24</v>
      </c>
      <c r="B53">
        <v>0.73570349611200814</v>
      </c>
      <c r="C53">
        <v>0.16429650388799188</v>
      </c>
      <c r="D53">
        <v>1.1017628442125653</v>
      </c>
    </row>
    <row r="54" spans="1:4" x14ac:dyDescent="0.25">
      <c r="A54">
        <v>25</v>
      </c>
      <c r="B54">
        <v>0.52583217625803613</v>
      </c>
      <c r="C54">
        <v>0.30416782374196383</v>
      </c>
      <c r="D54">
        <v>2.0397318182276041</v>
      </c>
    </row>
    <row r="55" spans="1:4" x14ac:dyDescent="0.25">
      <c r="A55">
        <v>26</v>
      </c>
      <c r="B55">
        <v>0.72834874340096634</v>
      </c>
      <c r="C55">
        <v>-0.13834874340096637</v>
      </c>
      <c r="D55">
        <v>-0.92775866446068489</v>
      </c>
    </row>
    <row r="56" spans="1:4" x14ac:dyDescent="0.25">
      <c r="A56">
        <v>27</v>
      </c>
      <c r="B56">
        <v>0.63145180237083887</v>
      </c>
      <c r="C56">
        <v>-0.13145180237083887</v>
      </c>
      <c r="D56">
        <v>-0.88150817716547103</v>
      </c>
    </row>
    <row r="57" spans="1:4" x14ac:dyDescent="0.25">
      <c r="A57">
        <v>28</v>
      </c>
      <c r="B57">
        <v>0.69950700075860528</v>
      </c>
      <c r="C57">
        <v>-0.22950700075860531</v>
      </c>
      <c r="D57">
        <v>-1.5390606612961384</v>
      </c>
    </row>
    <row r="58" spans="1:4" x14ac:dyDescent="0.25">
      <c r="A58">
        <v>29</v>
      </c>
      <c r="B58">
        <v>0.82995647459352484</v>
      </c>
      <c r="C58">
        <v>0.17004352540647516</v>
      </c>
      <c r="D58">
        <v>1.1403020378296835</v>
      </c>
    </row>
    <row r="59" spans="1:4" x14ac:dyDescent="0.25">
      <c r="A59">
        <v>30</v>
      </c>
      <c r="B59">
        <v>0.82197479015490904</v>
      </c>
      <c r="C59">
        <v>2.8025209845090937E-2</v>
      </c>
      <c r="D59">
        <v>0.1879354348868657</v>
      </c>
    </row>
    <row r="60" spans="1:4" x14ac:dyDescent="0.25">
      <c r="A60">
        <v>31</v>
      </c>
      <c r="B60">
        <v>0.67551891837431965</v>
      </c>
      <c r="C60">
        <v>2.4481081625680301E-2</v>
      </c>
      <c r="D60">
        <v>0.16416871621137918</v>
      </c>
    </row>
    <row r="61" spans="1:4" x14ac:dyDescent="0.25">
      <c r="A61">
        <v>32</v>
      </c>
      <c r="B61">
        <v>0.72365867293987307</v>
      </c>
      <c r="C61">
        <v>-0.22365867293987307</v>
      </c>
      <c r="D61">
        <v>-1.4998421134940092</v>
      </c>
    </row>
    <row r="62" spans="1:4" x14ac:dyDescent="0.25">
      <c r="A62">
        <v>33</v>
      </c>
      <c r="B62">
        <v>0.77653620697381354</v>
      </c>
      <c r="C62">
        <v>3.4637930261864902E-3</v>
      </c>
      <c r="D62">
        <v>2.3227995520200478E-2</v>
      </c>
    </row>
    <row r="63" spans="1:4" x14ac:dyDescent="0.25">
      <c r="A63">
        <v>34</v>
      </c>
      <c r="B63">
        <v>0.73144888199129554</v>
      </c>
      <c r="C63">
        <v>-9.1448881991295528E-2</v>
      </c>
      <c r="D63">
        <v>-0.61325090880496202</v>
      </c>
    </row>
    <row r="64" spans="1:4" x14ac:dyDescent="0.25">
      <c r="A64">
        <v>35</v>
      </c>
      <c r="B64">
        <v>0.72169766476941499</v>
      </c>
      <c r="C64">
        <v>-9.1697664769414988E-2</v>
      </c>
      <c r="D64">
        <v>-0.61491923171339624</v>
      </c>
    </row>
    <row r="65" spans="1:4" x14ac:dyDescent="0.25">
      <c r="A65">
        <v>36</v>
      </c>
      <c r="B65">
        <v>0.87604519994641949</v>
      </c>
      <c r="C65">
        <v>-1.6045199946419508E-2</v>
      </c>
      <c r="D65">
        <v>-0.10759818200987603</v>
      </c>
    </row>
    <row r="66" spans="1:4" x14ac:dyDescent="0.25">
      <c r="A66">
        <v>37</v>
      </c>
      <c r="B66">
        <v>0.80204154548057693</v>
      </c>
      <c r="C66">
        <v>-0.12204154548057689</v>
      </c>
      <c r="D66">
        <v>-0.81840353920400744</v>
      </c>
    </row>
    <row r="67" spans="1:4" x14ac:dyDescent="0.25">
      <c r="A67">
        <v>38</v>
      </c>
      <c r="B67">
        <v>0.65712549358741668</v>
      </c>
      <c r="C67">
        <v>0.22287450641258333</v>
      </c>
      <c r="D67">
        <v>1.494583538156143</v>
      </c>
    </row>
    <row r="68" spans="1:4" x14ac:dyDescent="0.25">
      <c r="A68">
        <v>39</v>
      </c>
      <c r="B68">
        <v>0.76260037165122407</v>
      </c>
      <c r="C68">
        <v>-2.2600371651224083E-2</v>
      </c>
      <c r="D68">
        <v>-0.15155678399395073</v>
      </c>
    </row>
    <row r="69" spans="1:4" ht="15.75" thickBot="1" x14ac:dyDescent="0.3">
      <c r="A69" s="21">
        <v>40</v>
      </c>
      <c r="B69" s="21">
        <v>0.69690871771030838</v>
      </c>
      <c r="C69" s="21">
        <v>-8.6908717710308392E-2</v>
      </c>
      <c r="D69" s="21">
        <v>-0.58280482995946881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Score ESG</vt:lpstr>
      <vt:lpstr>Feuil1</vt:lpstr>
      <vt:lpstr>Qualité Information</vt:lpstr>
      <vt:lpstr>Données Financières</vt:lpstr>
      <vt:lpstr>Type Secteur</vt:lpstr>
      <vt:lpstr>Données compilées</vt:lpstr>
      <vt:lpstr>Données pour H1</vt:lpstr>
      <vt:lpstr>Données pour H1 (a,b,c,d)</vt:lpstr>
      <vt:lpstr>H1</vt:lpstr>
      <vt:lpstr>H1.a</vt:lpstr>
      <vt:lpstr>H1.b</vt:lpstr>
      <vt:lpstr>H1.c</vt:lpstr>
      <vt:lpstr>H1.d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Raimondi</dc:creator>
  <cp:lastModifiedBy>Tristan Evrard</cp:lastModifiedBy>
  <dcterms:created xsi:type="dcterms:W3CDTF">2025-11-12T12:33:13Z</dcterms:created>
  <dcterms:modified xsi:type="dcterms:W3CDTF">2025-12-12T19:56:07Z</dcterms:modified>
</cp:coreProperties>
</file>